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1c019d0d8b48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092ea94d8cf4624"/>
    <x:sheet xmlns:r="http://schemas.openxmlformats.org/officeDocument/2006/relationships" name="Purchase Orders" sheetId="2" r:id="Ra4707061dfef4ad4"/>
    <x:sheet xmlns:r="http://schemas.openxmlformats.org/officeDocument/2006/relationships" name="Inventory" sheetId="3" r:id="Rc6b868960ac145a7"/>
    <x:sheet xmlns:r="http://schemas.openxmlformats.org/officeDocument/2006/relationships" name="Vendors" sheetId="4" r:id="R9fe03b18c9d3469d"/>
    <x:sheet xmlns:r="http://schemas.openxmlformats.org/officeDocument/2006/relationships" name="Materials" sheetId="5" r:id="Rb5095c7b41a342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₹#,##0.00"/>
    <x:numFmt numFmtId="201" formatCode="0.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12210069644f36" /><Relationship Type="http://schemas.openxmlformats.org/officeDocument/2006/relationships/theme" Target="/xl/theme/theme1.xml" Id="R42620a5fc4a74507" /><Relationship Type="http://schemas.openxmlformats.org/officeDocument/2006/relationships/sharedStrings" Target="/xl/sharedStrings.xml" Id="Ra6c32945823d4850" /><Relationship Type="http://schemas.openxmlformats.org/officeDocument/2006/relationships/worksheet" Target="/xl/worksheets/sheet1.xml" Id="R8092ea94d8cf4624" /><Relationship Type="http://schemas.openxmlformats.org/officeDocument/2006/relationships/worksheet" Target="/xl/worksheets/sheet2.xml" Id="Ra4707061dfef4ad4" /><Relationship Type="http://schemas.openxmlformats.org/officeDocument/2006/relationships/worksheet" Target="/xl/worksheets/sheet3.xml" Id="Rc6b868960ac145a7" /><Relationship Type="http://schemas.openxmlformats.org/officeDocument/2006/relationships/worksheet" Target="/xl/worksheets/sheet4.xml" Id="R9fe03b18c9d3469d" /><Relationship Type="http://schemas.openxmlformats.org/officeDocument/2006/relationships/worksheet" Target="/xl/worksheets/sheet5.xml" Id="Rb5095c7b41a3420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9a2151476ae486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Delivery Performance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'Dashboard'!$D$5:$D$6</c:f>
              <c:strCache>
                <c:ptCount val="0"/>
              </c:strCache>
            </c:strRef>
          </c:cat>
          <c:val>
            <c:numRef>
              <c:f>'Dashboard'!$E$5:$E$6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9a2151476ae486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88e4984ea6b447b" /></Relationships>
</file>

<file path=xl/worksheets/sheet1.xml><?xml version="1.0" encoding="utf-8"?>
<x:worksheet xmlns:x="http://schemas.openxmlformats.org/spreadsheetml/2006/main">
  <x:sheetFormatPr defaultRowHeight="15"/>
  <x:cols>
    <x:col min="1" max="1" width="63.880001068115234" hidden="0" customWidth="1"/>
    <x:col min="2" max="2" width="16.8799991607666" hidden="0" customWidth="1"/>
    <x:col min="4" max="4" width="6.880000114440918" hidden="0" customWidth="1"/>
    <x:col min="5" max="5" width="5.130000114440918" hidden="0" customWidth="1"/>
  </x:cols>
  <x:sheetData>
    <x:row r="1">
      <x:c r="A1" s="13" t="str">
        <x:v>SAP Procurement &amp; Inventory Analytics Dashboard</x:v>
      </x:c>
      <x:c r="B1" s="13"/>
      <x:c r="C1" s="13"/>
      <x:c r="D1" s="13"/>
      <x:c r="E1" s="13"/>
      <x:c r="F1" s="13"/>
      <x:c r="G1" s="13"/>
      <x:c r="H1" s="13"/>
    </x:row>
    <x:row r="2">
      <x:c r="A2" s="13"/>
      <x:c r="B2" s="13"/>
      <x:c r="C2" s="13"/>
      <x:c r="D2" s="13"/>
      <x:c r="E2" s="13"/>
      <x:c r="F2" s="13"/>
      <x:c r="G2" s="13"/>
      <x:c r="H2" s="13"/>
    </x:row>
    <x:row r="4">
      <x:c r="A4" s="4" t="str">
        <x:v>KPI</x:v>
      </x:c>
      <x:c r="B4" s="4" t="str">
        <x:v>Value</x:v>
      </x:c>
      <x:c r="D4" s="4" t="str">
        <x:v>Delivery</x:v>
      </x:c>
      <x:c r="E4" s="4" t="str">
        <x:v>Count</x:v>
      </x:c>
    </x:row>
    <x:row r="5">
      <x:c r="A5" t="str">
        <x:v>Total Procurement Spend</x:v>
      </x:c>
      <x:c r="B5" s="8" t="n">
        <x:f>SUM('Purchase Orders'!H2:H651)</x:f>
        <x:v>200136199.39999992</x:v>
      </x:c>
      <x:c r="D5" t="str">
        <x:v>On Time</x:v>
      </x:c>
      <x:c r="E5" t="n">
        <x:f>B6-B7</x:f>
        <x:v>463</x:v>
      </x:c>
    </x:row>
    <x:row r="6">
      <x:c r="A6" t="str">
        <x:v>Total Purchase Orders</x:v>
      </x:c>
      <x:c r="B6" t="n">
        <x:f>COUNTA('Purchase Orders'!A2:A651)</x:f>
        <x:v>650</x:v>
      </x:c>
      <x:c r="D6" t="str">
        <x:v>Delayed</x:v>
      </x:c>
      <x:c r="E6" t="n">
        <x:f>B7</x:f>
        <x:v>187</x:v>
      </x:c>
    </x:row>
    <x:row r="7">
      <x:c r="A7" t="str">
        <x:v>Delayed POs</x:v>
      </x:c>
      <x:c r="B7" t="n">
        <x:f>COUNTIF('Purchase Orders'!K2:K651,"&gt;0")</x:f>
        <x:v>187</x:v>
      </x:c>
    </x:row>
    <x:row r="8">
      <x:c r="A8" t="str">
        <x:v>On-Time Delivery %</x:v>
      </x:c>
      <x:c r="B8" s="18" t="n">
        <x:f>1-(B7/B6)</x:f>
        <x:v>0.7123076923076923</x:v>
      </x:c>
    </x:row>
    <x:row r="9">
      <x:c r="A9" t="str">
        <x:v>Critical Stock Items</x:v>
      </x:c>
      <x:c r="B9" t="n">
        <x:f>COUNTIF(Inventory!E2:E81,"Critical")</x:f>
        <x:v>17</x:v>
      </x:c>
    </x:row>
    <x:row r="10">
      <x:c r="A10" t="str">
        <x:v>Invoice Mismatches</x:v>
      </x:c>
      <x:c r="B10" t="n">
        <x:f>COUNTIF('Purchase Orders'!M2:M651,"Mismatch")</x:f>
        <x:v>128</x:v>
      </x:c>
    </x:row>
  </x:sheetData>
  <x:mergeCells>
    <x:mergeCell ref="A1:H2"/>
  </x:mergeCells>
  <x:pageMargins left="0.7" right="0.7" top="0.75" bottom="0.75" header="0.3" footer="0.3"/>
  <x:drawing xmlns:r="http://schemas.openxmlformats.org/officeDocument/2006/relationships" r:id="R988e4984ea6b447b"/>
</x:worksheet>
</file>

<file path=xl/worksheets/sheet2.xml><?xml version="1.0" encoding="utf-8"?>
<x:worksheet xmlns:x="http://schemas.openxmlformats.org/spreadsheetml/2006/main">
  <x:sheetFormatPr defaultRowHeight="15"/>
  <x:cols>
    <x:col min="1" max="1" width="9.5" hidden="0" customWidth="1"/>
    <x:col min="2" max="2" width="9.130000114440918" hidden="0" customWidth="1"/>
    <x:col min="3" max="3" width="8.25" hidden="0" customWidth="1"/>
    <x:col min="4" max="4" width="9.25" hidden="0" customWidth="1"/>
    <x:col min="5" max="5" width="10" hidden="0" customWidth="1"/>
    <x:col min="6" max="6" width="10.380000114440918" hidden="0" customWidth="1"/>
    <x:col min="7" max="7" width="8.25" hidden="0" customWidth="1"/>
    <x:col min="8" max="8" width="9.380000114440918" hidden="0" customWidth="1"/>
    <x:col min="9" max="9" width="13.75" hidden="0" customWidth="1"/>
    <x:col min="10" max="10" width="12.25" hidden="0" customWidth="1"/>
    <x:col min="11" max="11" width="9" hidden="0" customWidth="1"/>
    <x:col min="12" max="12" width="7.75" hidden="0" customWidth="1"/>
    <x:col min="13" max="13" width="11.380000114440918" hidden="0" customWidth="1"/>
  </x:cols>
  <x:sheetData>
    <x:row r="1">
      <x:c r="A1" s="4" t="str">
        <x:v>po_number</x:v>
      </x:c>
      <x:c r="B1" s="4" t="str">
        <x:v>po_date</x:v>
      </x:c>
      <x:c r="C1" s="4" t="str">
        <x:v>vendor_id</x:v>
      </x:c>
      <x:c r="D1" s="4" t="str">
        <x:v>material_id</x:v>
      </x:c>
      <x:c r="E1" s="4" t="str">
        <x:v>ordered_qty</x:v>
      </x:c>
      <x:c r="F1" s="4" t="str">
        <x:v>received_qty</x:v>
      </x:c>
      <x:c r="G1" s="4" t="str">
        <x:v>unit_price</x:v>
      </x:c>
      <x:c r="H1" s="4" t="str">
        <x:v>po_value</x:v>
      </x:c>
      <x:c r="I1" s="4" t="str">
        <x:v>planned_delivery</x:v>
      </x:c>
      <x:c r="J1" s="4" t="str">
        <x:v>actual_delivery</x:v>
      </x:c>
      <x:c r="K1" s="4" t="str">
        <x:v>delay_days</x:v>
      </x:c>
      <x:c r="L1" s="4" t="str">
        <x:v>gr_status</x:v>
      </x:c>
      <x:c r="M1" s="4" t="str">
        <x:v>invoice_status</x:v>
      </x:c>
    </x:row>
    <x:row r="2">
      <x:c r="A2" t="str">
        <x:v>PO500000</x:v>
      </x:c>
      <x:c r="B2" t="str">
        <x:v>2026-07-23</x:v>
      </x:c>
      <x:c r="C2" t="str">
        <x:v>V1008</x:v>
      </x:c>
      <x:c r="D2" t="str">
        <x:v>MAT2034</x:v>
      </x:c>
      <x:c r="E2" t="n">
        <x:v>180</x:v>
      </x:c>
      <x:c r="F2" t="n">
        <x:v>163</x:v>
      </x:c>
      <x:c r="G2" s="8" t="n">
        <x:v>169.99</x:v>
      </x:c>
      <x:c r="H2" s="8" t="n">
        <x:v>30598.2</x:v>
      </x:c>
      <x:c r="I2" t="str">
        <x:v>2026-07-31</x:v>
      </x:c>
      <x:c r="J2" t="str">
        <x:v>2026-07-31</x:v>
      </x:c>
      <x:c r="K2" t="n">
        <x:v>0</x:v>
      </x:c>
      <x:c r="L2" t="str">
        <x:v>Partial</x:v>
      </x:c>
      <x:c r="M2" t="str">
        <x:v>Mismatch</x:v>
      </x:c>
    </x:row>
    <x:row r="3">
      <x:c r="A3" t="str">
        <x:v>PO500001</x:v>
      </x:c>
      <x:c r="B3" t="str">
        <x:v>2026-08-14</x:v>
      </x:c>
      <x:c r="C3" t="str">
        <x:v>V1024</x:v>
      </x:c>
      <x:c r="D3" t="str">
        <x:v>MAT2011</x:v>
      </x:c>
      <x:c r="E3" t="n">
        <x:v>237</x:v>
      </x:c>
      <x:c r="F3" t="n">
        <x:v>237</x:v>
      </x:c>
      <x:c r="G3" s="8" t="n">
        <x:v>1624.98</x:v>
      </x:c>
      <x:c r="H3" s="8" t="n">
        <x:v>385120.26</x:v>
      </x:c>
      <x:c r="I3" t="str">
        <x:v>2026-08-26</x:v>
      </x:c>
      <x:c r="J3" t="str">
        <x:v>2026-08-26</x:v>
      </x:c>
      <x:c r="K3" t="n">
        <x:v>0</x:v>
      </x:c>
      <x:c r="L3" t="str">
        <x:v>Complete</x:v>
      </x:c>
      <x:c r="M3" t="str">
        <x:v>Pending</x:v>
      </x:c>
    </x:row>
    <x:row r="4">
      <x:c r="A4" t="str">
        <x:v>PO500002</x:v>
      </x:c>
      <x:c r="B4" t="str">
        <x:v>2026-04-14</x:v>
      </x:c>
      <x:c r="C4" t="str">
        <x:v>V1009</x:v>
      </x:c>
      <x:c r="D4" t="str">
        <x:v>MAT2063</x:v>
      </x:c>
      <x:c r="E4" t="n">
        <x:v>44</x:v>
      </x:c>
      <x:c r="F4" t="n">
        <x:v>44</x:v>
      </x:c>
      <x:c r="G4" s="8" t="n">
        <x:v>1086.06</x:v>
      </x:c>
      <x:c r="H4" s="8" t="n">
        <x:v>47786.64</x:v>
      </x:c>
      <x:c r="I4" t="str">
        <x:v>2026-05-04</x:v>
      </x:c>
      <x:c r="J4" t="str">
        <x:v>2026-05-06</x:v>
      </x:c>
      <x:c r="K4" t="n">
        <x:v>2</x:v>
      </x:c>
      <x:c r="L4" t="str">
        <x:v>Complete</x:v>
      </x:c>
      <x:c r="M4" t="str">
        <x:v>Pending</x:v>
      </x:c>
    </x:row>
    <x:row r="5">
      <x:c r="A5" t="str">
        <x:v>PO500003</x:v>
      </x:c>
      <x:c r="B5" t="str">
        <x:v>2026-08-24</x:v>
      </x:c>
      <x:c r="C5" t="str">
        <x:v>V1008</x:v>
      </x:c>
      <x:c r="D5" t="str">
        <x:v>MAT2004</x:v>
      </x:c>
      <x:c r="E5" t="n">
        <x:v>484</x:v>
      </x:c>
      <x:c r="F5" t="n">
        <x:v>472</x:v>
      </x:c>
      <x:c r="G5" s="8" t="n">
        <x:v>652.65</x:v>
      </x:c>
      <x:c r="H5" s="8" t="n">
        <x:v>315882.6</x:v>
      </x:c>
      <x:c r="I5" t="str">
        <x:v>2026-09-04</x:v>
      </x:c>
      <x:c r="J5" t="str">
        <x:v>2026-09-06</x:v>
      </x:c>
      <x:c r="K5" t="n">
        <x:v>2</x:v>
      </x:c>
      <x:c r="L5" t="str">
        <x:v>Partial</x:v>
      </x:c>
      <x:c r="M5" t="str">
        <x:v>Matched</x:v>
      </x:c>
    </x:row>
    <x:row r="6">
      <x:c r="A6" t="str">
        <x:v>PO500004</x:v>
      </x:c>
      <x:c r="B6" t="str">
        <x:v>2026-05-21</x:v>
      </x:c>
      <x:c r="C6" t="str">
        <x:v>V1004</x:v>
      </x:c>
      <x:c r="D6" t="str">
        <x:v>MAT2005</x:v>
      </x:c>
      <x:c r="E6" t="n">
        <x:v>41</x:v>
      </x:c>
      <x:c r="F6" t="n">
        <x:v>41</x:v>
      </x:c>
      <x:c r="G6" s="8" t="n">
        <x:v>462.3</x:v>
      </x:c>
      <x:c r="H6" s="8" t="n">
        <x:v>18954.3</x:v>
      </x:c>
      <x:c r="I6" t="str">
        <x:v>2026-06-05</x:v>
      </x:c>
      <x:c r="J6" t="str">
        <x:v>2026-06-05</x:v>
      </x:c>
      <x:c r="K6" t="n">
        <x:v>0</x:v>
      </x:c>
      <x:c r="L6" t="str">
        <x:v>Complete</x:v>
      </x:c>
      <x:c r="M6" t="str">
        <x:v>Mismatch</x:v>
      </x:c>
    </x:row>
    <x:row r="7">
      <x:c r="A7" t="str">
        <x:v>PO500005</x:v>
      </x:c>
      <x:c r="B7" t="str">
        <x:v>2026-05-01</x:v>
      </x:c>
      <x:c r="C7" t="str">
        <x:v>V1020</x:v>
      </x:c>
      <x:c r="D7" t="str">
        <x:v>MAT2041</x:v>
      </x:c>
      <x:c r="E7" t="n">
        <x:v>300</x:v>
      </x:c>
      <x:c r="F7" t="n">
        <x:v>300</x:v>
      </x:c>
      <x:c r="G7" s="8" t="n">
        <x:v>1101.71</x:v>
      </x:c>
      <x:c r="H7" s="8" t="n">
        <x:v>330513</x:v>
      </x:c>
      <x:c r="I7" t="str">
        <x:v>2026-05-11</x:v>
      </x:c>
      <x:c r="J7" t="str">
        <x:v>2026-05-11</x:v>
      </x:c>
      <x:c r="K7" t="n">
        <x:v>0</x:v>
      </x:c>
      <x:c r="L7" t="str">
        <x:v>Complete</x:v>
      </x:c>
      <x:c r="M7" t="str">
        <x:v>Mismatch</x:v>
      </x:c>
    </x:row>
    <x:row r="8">
      <x:c r="A8" t="str">
        <x:v>PO500006</x:v>
      </x:c>
      <x:c r="B8" t="str">
        <x:v>2026-06-28</x:v>
      </x:c>
      <x:c r="C8" t="str">
        <x:v>V1012</x:v>
      </x:c>
      <x:c r="D8" t="str">
        <x:v>MAT2051</x:v>
      </x:c>
      <x:c r="E8" t="n">
        <x:v>319</x:v>
      </x:c>
      <x:c r="F8" t="n">
        <x:v>319</x:v>
      </x:c>
      <x:c r="G8" s="8" t="n">
        <x:v>1646.97</x:v>
      </x:c>
      <x:c r="H8" s="8" t="n">
        <x:v>525383.43</x:v>
      </x:c>
      <x:c r="I8" t="str">
        <x:v>2026-07-04</x:v>
      </x:c>
      <x:c r="J8" t="str">
        <x:v>2026-07-04</x:v>
      </x:c>
      <x:c r="K8" t="n">
        <x:v>0</x:v>
      </x:c>
      <x:c r="L8" t="str">
        <x:v>Complete</x:v>
      </x:c>
      <x:c r="M8" t="str">
        <x:v>Matched</x:v>
      </x:c>
    </x:row>
    <x:row r="9">
      <x:c r="A9" t="str">
        <x:v>PO500007</x:v>
      </x:c>
      <x:c r="B9" t="str">
        <x:v>2026-02-18</x:v>
      </x:c>
      <x:c r="C9" t="str">
        <x:v>V1021</x:v>
      </x:c>
      <x:c r="D9" t="str">
        <x:v>MAT2054</x:v>
      </x:c>
      <x:c r="E9" t="n">
        <x:v>406</x:v>
      </x:c>
      <x:c r="F9" t="n">
        <x:v>406</x:v>
      </x:c>
      <x:c r="G9" s="8" t="n">
        <x:v>1613.77</x:v>
      </x:c>
      <x:c r="H9" s="8" t="n">
        <x:v>655190.62</x:v>
      </x:c>
      <x:c r="I9" t="str">
        <x:v>2026-03-09</x:v>
      </x:c>
      <x:c r="J9" t="str">
        <x:v>2026-03-09</x:v>
      </x:c>
      <x:c r="K9" t="n">
        <x:v>0</x:v>
      </x:c>
      <x:c r="L9" t="str">
        <x:v>Complete</x:v>
      </x:c>
      <x:c r="M9" t="str">
        <x:v>Matched</x:v>
      </x:c>
    </x:row>
    <x:row r="10">
      <x:c r="A10" t="str">
        <x:v>PO500008</x:v>
      </x:c>
      <x:c r="B10" t="str">
        <x:v>2026-06-21</x:v>
      </x:c>
      <x:c r="C10" t="str">
        <x:v>V1010</x:v>
      </x:c>
      <x:c r="D10" t="str">
        <x:v>MAT2044</x:v>
      </x:c>
      <x:c r="E10" t="n">
        <x:v>274</x:v>
      </x:c>
      <x:c r="F10" t="n">
        <x:v>274</x:v>
      </x:c>
      <x:c r="G10" s="8" t="n">
        <x:v>2387.99</x:v>
      </x:c>
      <x:c r="H10" s="8" t="n">
        <x:v>654309.26</x:v>
      </x:c>
      <x:c r="I10" t="str">
        <x:v>2026-06-28</x:v>
      </x:c>
      <x:c r="J10" t="str">
        <x:v>2026-06-30</x:v>
      </x:c>
      <x:c r="K10" t="n">
        <x:v>2</x:v>
      </x:c>
      <x:c r="L10" t="str">
        <x:v>Complete</x:v>
      </x:c>
      <x:c r="M10" t="str">
        <x:v>Pending</x:v>
      </x:c>
    </x:row>
    <x:row r="11">
      <x:c r="A11" t="str">
        <x:v>PO500009</x:v>
      </x:c>
      <x:c r="B11" t="str">
        <x:v>2026-05-03</x:v>
      </x:c>
      <x:c r="C11" t="str">
        <x:v>V1015</x:v>
      </x:c>
      <x:c r="D11" t="str">
        <x:v>MAT2012</x:v>
      </x:c>
      <x:c r="E11" t="n">
        <x:v>93</x:v>
      </x:c>
      <x:c r="F11" t="n">
        <x:v>88</x:v>
      </x:c>
      <x:c r="G11" s="8" t="n">
        <x:v>2412.85</x:v>
      </x:c>
      <x:c r="H11" s="8" t="n">
        <x:v>224395.05</x:v>
      </x:c>
      <x:c r="I11" t="str">
        <x:v>2026-05-08</x:v>
      </x:c>
      <x:c r="J11" t="str">
        <x:v>2026-05-08</x:v>
      </x:c>
      <x:c r="K11" t="n">
        <x:v>0</x:v>
      </x:c>
      <x:c r="L11" t="str">
        <x:v>Partial</x:v>
      </x:c>
      <x:c r="M11" t="str">
        <x:v>Pending</x:v>
      </x:c>
    </x:row>
    <x:row r="12">
      <x:c r="A12" t="str">
        <x:v>PO500010</x:v>
      </x:c>
      <x:c r="B12" t="str">
        <x:v>2026-05-15</x:v>
      </x:c>
      <x:c r="C12" t="str">
        <x:v>V1027</x:v>
      </x:c>
      <x:c r="D12" t="str">
        <x:v>MAT2066</x:v>
      </x:c>
      <x:c r="E12" t="n">
        <x:v>453</x:v>
      </x:c>
      <x:c r="F12" t="n">
        <x:v>453</x:v>
      </x:c>
      <x:c r="G12" s="8" t="n">
        <x:v>2056.28</x:v>
      </x:c>
      <x:c r="H12" s="8" t="n">
        <x:v>931494.84</x:v>
      </x:c>
      <x:c r="I12" t="str">
        <x:v>2026-05-31</x:v>
      </x:c>
      <x:c r="J12" t="str">
        <x:v>2026-05-31</x:v>
      </x:c>
      <x:c r="K12" t="n">
        <x:v>0</x:v>
      </x:c>
      <x:c r="L12" t="str">
        <x:v>Complete</x:v>
      </x:c>
      <x:c r="M12" t="str">
        <x:v>Mismatch</x:v>
      </x:c>
    </x:row>
    <x:row r="13">
      <x:c r="A13" t="str">
        <x:v>PO500011</x:v>
      </x:c>
      <x:c r="B13" t="str">
        <x:v>2026-05-06</x:v>
      </x:c>
      <x:c r="C13" t="str">
        <x:v>V1022</x:v>
      </x:c>
      <x:c r="D13" t="str">
        <x:v>MAT2060</x:v>
      </x:c>
      <x:c r="E13" t="n">
        <x:v>202</x:v>
      </x:c>
      <x:c r="F13" t="n">
        <x:v>202</x:v>
      </x:c>
      <x:c r="G13" s="8" t="n">
        <x:v>982.94</x:v>
      </x:c>
      <x:c r="H13" s="8" t="n">
        <x:v>198553.88</x:v>
      </x:c>
      <x:c r="I13" t="str">
        <x:v>2026-05-21</x:v>
      </x:c>
      <x:c r="J13" t="str">
        <x:v>2026-05-24</x:v>
      </x:c>
      <x:c r="K13" t="n">
        <x:v>3</x:v>
      </x:c>
      <x:c r="L13" t="str">
        <x:v>Complete</x:v>
      </x:c>
      <x:c r="M13" t="str">
        <x:v>Mismatch</x:v>
      </x:c>
    </x:row>
    <x:row r="14">
      <x:c r="A14" t="str">
        <x:v>PO500012</x:v>
      </x:c>
      <x:c r="B14" t="str">
        <x:v>2026-06-02</x:v>
      </x:c>
      <x:c r="C14" t="str">
        <x:v>V1016</x:v>
      </x:c>
      <x:c r="D14" t="str">
        <x:v>MAT2003</x:v>
      </x:c>
      <x:c r="E14" t="n">
        <x:v>229</x:v>
      </x:c>
      <x:c r="F14" t="n">
        <x:v>214</x:v>
      </x:c>
      <x:c r="G14" s="8" t="n">
        <x:v>1287.78</x:v>
      </x:c>
      <x:c r="H14" s="8" t="n">
        <x:v>294901.62</x:v>
      </x:c>
      <x:c r="I14" t="str">
        <x:v>2026-06-14</x:v>
      </x:c>
      <x:c r="J14" t="str">
        <x:v>2026-06-19</x:v>
      </x:c>
      <x:c r="K14" t="n">
        <x:v>5</x:v>
      </x:c>
      <x:c r="L14" t="str">
        <x:v>Partial</x:v>
      </x:c>
      <x:c r="M14" t="str">
        <x:v>Matched</x:v>
      </x:c>
    </x:row>
    <x:row r="15">
      <x:c r="A15" t="str">
        <x:v>PO500013</x:v>
      </x:c>
      <x:c r="B15" t="str">
        <x:v>2026-03-26</x:v>
      </x:c>
      <x:c r="C15" t="str">
        <x:v>V1004</x:v>
      </x:c>
      <x:c r="D15" t="str">
        <x:v>MAT2049</x:v>
      </x:c>
      <x:c r="E15" t="n">
        <x:v>311</x:v>
      </x:c>
      <x:c r="F15" t="n">
        <x:v>311</x:v>
      </x:c>
      <x:c r="G15" s="8" t="n">
        <x:v>2492.84</x:v>
      </x:c>
      <x:c r="H15" s="8" t="n">
        <x:v>775273.24</x:v>
      </x:c>
      <x:c r="I15" t="str">
        <x:v>2026-04-09</x:v>
      </x:c>
      <x:c r="J15" t="str">
        <x:v>2026-04-09</x:v>
      </x:c>
      <x:c r="K15" t="n">
        <x:v>0</x:v>
      </x:c>
      <x:c r="L15" t="str">
        <x:v>Complete</x:v>
      </x:c>
      <x:c r="M15" t="str">
        <x:v>Matched</x:v>
      </x:c>
    </x:row>
    <x:row r="16">
      <x:c r="A16" t="str">
        <x:v>PO500014</x:v>
      </x:c>
      <x:c r="B16" t="str">
        <x:v>2026-04-25</x:v>
      </x:c>
      <x:c r="C16" t="str">
        <x:v>V1009</x:v>
      </x:c>
      <x:c r="D16" t="str">
        <x:v>MAT2015</x:v>
      </x:c>
      <x:c r="E16" t="n">
        <x:v>257</x:v>
      </x:c>
      <x:c r="F16" t="n">
        <x:v>257</x:v>
      </x:c>
      <x:c r="G16" s="8" t="n">
        <x:v>1451.28</x:v>
      </x:c>
      <x:c r="H16" s="8" t="n">
        <x:v>372978.96</x:v>
      </x:c>
      <x:c r="I16" t="str">
        <x:v>2026-05-02</x:v>
      </x:c>
      <x:c r="J16" t="str">
        <x:v>2026-05-02</x:v>
      </x:c>
      <x:c r="K16" t="n">
        <x:v>0</x:v>
      </x:c>
      <x:c r="L16" t="str">
        <x:v>Complete</x:v>
      </x:c>
      <x:c r="M16" t="str">
        <x:v>Matched</x:v>
      </x:c>
    </x:row>
    <x:row r="17">
      <x:c r="A17" t="str">
        <x:v>PO500015</x:v>
      </x:c>
      <x:c r="B17" t="str">
        <x:v>2026-02-14</x:v>
      </x:c>
      <x:c r="C17" t="str">
        <x:v>V1016</x:v>
      </x:c>
      <x:c r="D17" t="str">
        <x:v>MAT2017</x:v>
      </x:c>
      <x:c r="E17" t="n">
        <x:v>17</x:v>
      </x:c>
      <x:c r="F17" t="n">
        <x:v>16</x:v>
      </x:c>
      <x:c r="G17" s="8" t="n">
        <x:v>1193.47</x:v>
      </x:c>
      <x:c r="H17" s="8" t="n">
        <x:v>20288.99</x:v>
      </x:c>
      <x:c r="I17" t="str">
        <x:v>2026-02-27</x:v>
      </x:c>
      <x:c r="J17" t="str">
        <x:v>2026-02-27</x:v>
      </x:c>
      <x:c r="K17" t="n">
        <x:v>0</x:v>
      </x:c>
      <x:c r="L17" t="str">
        <x:v>Partial</x:v>
      </x:c>
      <x:c r="M17" t="str">
        <x:v>Pending</x:v>
      </x:c>
    </x:row>
    <x:row r="18">
      <x:c r="A18" t="str">
        <x:v>PO500016</x:v>
      </x:c>
      <x:c r="B18" t="str">
        <x:v>2026-07-04</x:v>
      </x:c>
      <x:c r="C18" t="str">
        <x:v>V1014</x:v>
      </x:c>
      <x:c r="D18" t="str">
        <x:v>MAT2025</x:v>
      </x:c>
      <x:c r="E18" t="n">
        <x:v>482</x:v>
      </x:c>
      <x:c r="F18" t="n">
        <x:v>482</x:v>
      </x:c>
      <x:c r="G18" s="8" t="n">
        <x:v>1217.62</x:v>
      </x:c>
      <x:c r="H18" s="8" t="n">
        <x:v>586892.84</x:v>
      </x:c>
      <x:c r="I18" t="str">
        <x:v>2026-07-08</x:v>
      </x:c>
      <x:c r="J18" t="str">
        <x:v>2026-07-13</x:v>
      </x:c>
      <x:c r="K18" t="n">
        <x:v>5</x:v>
      </x:c>
      <x:c r="L18" t="str">
        <x:v>Complete</x:v>
      </x:c>
      <x:c r="M18" t="str">
        <x:v>Matched</x:v>
      </x:c>
    </x:row>
    <x:row r="19">
      <x:c r="A19" t="str">
        <x:v>PO500017</x:v>
      </x:c>
      <x:c r="B19" t="str">
        <x:v>2026-01-15</x:v>
      </x:c>
      <x:c r="C19" t="str">
        <x:v>V1005</x:v>
      </x:c>
      <x:c r="D19" t="str">
        <x:v>MAT2003</x:v>
      </x:c>
      <x:c r="E19" t="n">
        <x:v>147</x:v>
      </x:c>
      <x:c r="F19" t="n">
        <x:v>147</x:v>
      </x:c>
      <x:c r="G19" s="8" t="n">
        <x:v>1026.3</x:v>
      </x:c>
      <x:c r="H19" s="8" t="n">
        <x:v>150866.1</x:v>
      </x:c>
      <x:c r="I19" t="str">
        <x:v>2026-01-29</x:v>
      </x:c>
      <x:c r="J19" t="str">
        <x:v>2026-01-29</x:v>
      </x:c>
      <x:c r="K19" t="n">
        <x:v>0</x:v>
      </x:c>
      <x:c r="L19" t="str">
        <x:v>Complete</x:v>
      </x:c>
      <x:c r="M19" t="str">
        <x:v>Mismatch</x:v>
      </x:c>
    </x:row>
    <x:row r="20">
      <x:c r="A20" t="str">
        <x:v>PO500018</x:v>
      </x:c>
      <x:c r="B20" t="str">
        <x:v>2026-03-01</x:v>
      </x:c>
      <x:c r="C20" t="str">
        <x:v>V1023</x:v>
      </x:c>
      <x:c r="D20" t="str">
        <x:v>MAT2066</x:v>
      </x:c>
      <x:c r="E20" t="n">
        <x:v>411</x:v>
      </x:c>
      <x:c r="F20" t="n">
        <x:v>411</x:v>
      </x:c>
      <x:c r="G20" s="8" t="n">
        <x:v>1449.36</x:v>
      </x:c>
      <x:c r="H20" s="8" t="n">
        <x:v>595686.96</x:v>
      </x:c>
      <x:c r="I20" t="str">
        <x:v>2026-03-05</x:v>
      </x:c>
      <x:c r="J20" t="str">
        <x:v>2026-03-05</x:v>
      </x:c>
      <x:c r="K20" t="n">
        <x:v>0</x:v>
      </x:c>
      <x:c r="L20" t="str">
        <x:v>Complete</x:v>
      </x:c>
      <x:c r="M20" t="str">
        <x:v>Mismatch</x:v>
      </x:c>
    </x:row>
    <x:row r="21">
      <x:c r="A21" t="str">
        <x:v>PO500019</x:v>
      </x:c>
      <x:c r="B21" t="str">
        <x:v>2026-03-31</x:v>
      </x:c>
      <x:c r="C21" t="str">
        <x:v>V1013</x:v>
      </x:c>
      <x:c r="D21" t="str">
        <x:v>MAT2035</x:v>
      </x:c>
      <x:c r="E21" t="n">
        <x:v>284</x:v>
      </x:c>
      <x:c r="F21" t="n">
        <x:v>284</x:v>
      </x:c>
      <x:c r="G21" s="8" t="n">
        <x:v>1347.21</x:v>
      </x:c>
      <x:c r="H21" s="8" t="n">
        <x:v>382607.64</x:v>
      </x:c>
      <x:c r="I21" t="str">
        <x:v>2026-04-12</x:v>
      </x:c>
      <x:c r="J21" t="str">
        <x:v>2026-04-12</x:v>
      </x:c>
      <x:c r="K21" t="n">
        <x:v>0</x:v>
      </x:c>
      <x:c r="L21" t="str">
        <x:v>Complete</x:v>
      </x:c>
      <x:c r="M21" t="str">
        <x:v>Matched</x:v>
      </x:c>
    </x:row>
    <x:row r="22">
      <x:c r="A22" t="str">
        <x:v>PO500020</x:v>
      </x:c>
      <x:c r="B22" t="str">
        <x:v>2026-03-04</x:v>
      </x:c>
      <x:c r="C22" t="str">
        <x:v>V1028</x:v>
      </x:c>
      <x:c r="D22" t="str">
        <x:v>MAT2061</x:v>
      </x:c>
      <x:c r="E22" t="n">
        <x:v>234</x:v>
      </x:c>
      <x:c r="F22" t="n">
        <x:v>220</x:v>
      </x:c>
      <x:c r="G22" s="8" t="n">
        <x:v>1835.89</x:v>
      </x:c>
      <x:c r="H22" s="8" t="n">
        <x:v>429598.26</x:v>
      </x:c>
      <x:c r="I22" t="str">
        <x:v>2026-03-10</x:v>
      </x:c>
      <x:c r="J22" t="str">
        <x:v>2026-03-10</x:v>
      </x:c>
      <x:c r="K22" t="n">
        <x:v>0</x:v>
      </x:c>
      <x:c r="L22" t="str">
        <x:v>Partial</x:v>
      </x:c>
      <x:c r="M22" t="str">
        <x:v>Pending</x:v>
      </x:c>
    </x:row>
    <x:row r="23">
      <x:c r="A23" t="str">
        <x:v>PO500021</x:v>
      </x:c>
      <x:c r="B23" t="str">
        <x:v>2026-02-13</x:v>
      </x:c>
      <x:c r="C23" t="str">
        <x:v>V1006</x:v>
      </x:c>
      <x:c r="D23" t="str">
        <x:v>MAT2047</x:v>
      </x:c>
      <x:c r="E23" t="n">
        <x:v>124</x:v>
      </x:c>
      <x:c r="F23" t="n">
        <x:v>124</x:v>
      </x:c>
      <x:c r="G23" s="8" t="n">
        <x:v>724.06</x:v>
      </x:c>
      <x:c r="H23" s="8" t="n">
        <x:v>89783.44</x:v>
      </x:c>
      <x:c r="I23" t="str">
        <x:v>2026-02-19</x:v>
      </x:c>
      <x:c r="J23" t="str">
        <x:v>2026-02-19</x:v>
      </x:c>
      <x:c r="K23" t="n">
        <x:v>0</x:v>
      </x:c>
      <x:c r="L23" t="str">
        <x:v>Complete</x:v>
      </x:c>
      <x:c r="M23" t="str">
        <x:v>Matched</x:v>
      </x:c>
    </x:row>
    <x:row r="24">
      <x:c r="A24" t="str">
        <x:v>PO500022</x:v>
      </x:c>
      <x:c r="B24" t="str">
        <x:v>2026-04-04</x:v>
      </x:c>
      <x:c r="C24" t="str">
        <x:v>V1021</x:v>
      </x:c>
      <x:c r="D24" t="str">
        <x:v>MAT2061</x:v>
      </x:c>
      <x:c r="E24" t="n">
        <x:v>414</x:v>
      </x:c>
      <x:c r="F24" t="n">
        <x:v>412</x:v>
      </x:c>
      <x:c r="G24" s="8" t="n">
        <x:v>93.4</x:v>
      </x:c>
      <x:c r="H24" s="8" t="n">
        <x:v>38667.6</x:v>
      </x:c>
      <x:c r="I24" t="str">
        <x:v>2026-04-17</x:v>
      </x:c>
      <x:c r="J24" t="str">
        <x:v>2026-04-17</x:v>
      </x:c>
      <x:c r="K24" t="n">
        <x:v>0</x:v>
      </x:c>
      <x:c r="L24" t="str">
        <x:v>Partial</x:v>
      </x:c>
      <x:c r="M24" t="str">
        <x:v>Matched</x:v>
      </x:c>
    </x:row>
    <x:row r="25">
      <x:c r="A25" t="str">
        <x:v>PO500023</x:v>
      </x:c>
      <x:c r="B25" t="str">
        <x:v>2026-08-09</x:v>
      </x:c>
      <x:c r="C25" t="str">
        <x:v>V1001</x:v>
      </x:c>
      <x:c r="D25" t="str">
        <x:v>MAT2054</x:v>
      </x:c>
      <x:c r="E25" t="n">
        <x:v>378</x:v>
      </x:c>
      <x:c r="F25" t="n">
        <x:v>378</x:v>
      </x:c>
      <x:c r="G25" s="8" t="n">
        <x:v>1870.19</x:v>
      </x:c>
      <x:c r="H25" s="8" t="n">
        <x:v>706931.82</x:v>
      </x:c>
      <x:c r="I25" t="str">
        <x:v>2026-08-14</x:v>
      </x:c>
      <x:c r="J25" t="str">
        <x:v>2026-08-22</x:v>
      </x:c>
      <x:c r="K25" t="n">
        <x:v>8</x:v>
      </x:c>
      <x:c r="L25" t="str">
        <x:v>Complete</x:v>
      </x:c>
      <x:c r="M25" t="str">
        <x:v>Mismatch</x:v>
      </x:c>
    </x:row>
    <x:row r="26">
      <x:c r="A26" t="str">
        <x:v>PO500024</x:v>
      </x:c>
      <x:c r="B26" t="str">
        <x:v>2026-03-20</x:v>
      </x:c>
      <x:c r="C26" t="str">
        <x:v>V1031</x:v>
      </x:c>
      <x:c r="D26" t="str">
        <x:v>MAT2031</x:v>
      </x:c>
      <x:c r="E26" t="n">
        <x:v>396</x:v>
      </x:c>
      <x:c r="F26" t="n">
        <x:v>396</x:v>
      </x:c>
      <x:c r="G26" s="8" t="n">
        <x:v>2471.6</x:v>
      </x:c>
      <x:c r="H26" s="8" t="n">
        <x:v>978753.6</x:v>
      </x:c>
      <x:c r="I26" t="str">
        <x:v>2026-04-02</x:v>
      </x:c>
      <x:c r="J26" t="str">
        <x:v>2026-04-02</x:v>
      </x:c>
      <x:c r="K26" t="n">
        <x:v>0</x:v>
      </x:c>
      <x:c r="L26" t="str">
        <x:v>Complete</x:v>
      </x:c>
      <x:c r="M26" t="str">
        <x:v>Mismatch</x:v>
      </x:c>
    </x:row>
    <x:row r="27">
      <x:c r="A27" t="str">
        <x:v>PO500025</x:v>
      </x:c>
      <x:c r="B27" t="str">
        <x:v>2026-04-13</x:v>
      </x:c>
      <x:c r="C27" t="str">
        <x:v>V1031</x:v>
      </x:c>
      <x:c r="D27" t="str">
        <x:v>MAT2023</x:v>
      </x:c>
      <x:c r="E27" t="n">
        <x:v>82</x:v>
      </x:c>
      <x:c r="F27" t="n">
        <x:v>82</x:v>
      </x:c>
      <x:c r="G27" s="8" t="n">
        <x:v>484.65</x:v>
      </x:c>
      <x:c r="H27" s="8" t="n">
        <x:v>39741.3</x:v>
      </x:c>
      <x:c r="I27" t="str">
        <x:v>2026-05-01</x:v>
      </x:c>
      <x:c r="J27" t="str">
        <x:v>2026-05-09</x:v>
      </x:c>
      <x:c r="K27" t="n">
        <x:v>8</x:v>
      </x:c>
      <x:c r="L27" t="str">
        <x:v>Complete</x:v>
      </x:c>
      <x:c r="M27" t="str">
        <x:v>Matched</x:v>
      </x:c>
    </x:row>
    <x:row r="28">
      <x:c r="A28" t="str">
        <x:v>PO500026</x:v>
      </x:c>
      <x:c r="B28" t="str">
        <x:v>2026-07-26</x:v>
      </x:c>
      <x:c r="C28" t="str">
        <x:v>V1001</x:v>
      </x:c>
      <x:c r="D28" t="str">
        <x:v>MAT2046</x:v>
      </x:c>
      <x:c r="E28" t="n">
        <x:v>244</x:v>
      </x:c>
      <x:c r="F28" t="n">
        <x:v>244</x:v>
      </x:c>
      <x:c r="G28" s="8" t="n">
        <x:v>1281.29</x:v>
      </x:c>
      <x:c r="H28" s="8" t="n">
        <x:v>312634.76</x:v>
      </x:c>
      <x:c r="I28" t="str">
        <x:v>2026-08-13</x:v>
      </x:c>
      <x:c r="J28" t="str">
        <x:v>2026-08-13</x:v>
      </x:c>
      <x:c r="K28" t="n">
        <x:v>0</x:v>
      </x:c>
      <x:c r="L28" t="str">
        <x:v>Complete</x:v>
      </x:c>
      <x:c r="M28" t="str">
        <x:v>Mismatch</x:v>
      </x:c>
    </x:row>
    <x:row r="29">
      <x:c r="A29" t="str">
        <x:v>PO500027</x:v>
      </x:c>
      <x:c r="B29" t="str">
        <x:v>2026-08-20</x:v>
      </x:c>
      <x:c r="C29" t="str">
        <x:v>V1006</x:v>
      </x:c>
      <x:c r="D29" t="str">
        <x:v>MAT2078</x:v>
      </x:c>
      <x:c r="E29" t="n">
        <x:v>478</x:v>
      </x:c>
      <x:c r="F29" t="n">
        <x:v>478</x:v>
      </x:c>
      <x:c r="G29" s="8" t="n">
        <x:v>930.99</x:v>
      </x:c>
      <x:c r="H29" s="8" t="n">
        <x:v>445013.22</x:v>
      </x:c>
      <x:c r="I29" t="str">
        <x:v>2026-09-06</x:v>
      </x:c>
      <x:c r="J29" t="str">
        <x:v>2026-09-06</x:v>
      </x:c>
      <x:c r="K29" t="n">
        <x:v>0</x:v>
      </x:c>
      <x:c r="L29" t="str">
        <x:v>Complete</x:v>
      </x:c>
      <x:c r="M29" t="str">
        <x:v>Matched</x:v>
      </x:c>
    </x:row>
    <x:row r="30">
      <x:c r="A30" t="str">
        <x:v>PO500028</x:v>
      </x:c>
      <x:c r="B30" t="str">
        <x:v>2026-08-25</x:v>
      </x:c>
      <x:c r="C30" t="str">
        <x:v>V1017</x:v>
      </x:c>
      <x:c r="D30" t="str">
        <x:v>MAT2037</x:v>
      </x:c>
      <x:c r="E30" t="n">
        <x:v>193</x:v>
      </x:c>
      <x:c r="F30" t="n">
        <x:v>193</x:v>
      </x:c>
      <x:c r="G30" s="8" t="n">
        <x:v>2406.86</x:v>
      </x:c>
      <x:c r="H30" s="8" t="n">
        <x:v>464523.98</x:v>
      </x:c>
      <x:c r="I30" t="str">
        <x:v>2026-08-31</x:v>
      </x:c>
      <x:c r="J30" t="str">
        <x:v>2026-09-08</x:v>
      </x:c>
      <x:c r="K30" t="n">
        <x:v>8</x:v>
      </x:c>
      <x:c r="L30" t="str">
        <x:v>Complete</x:v>
      </x:c>
      <x:c r="M30" t="str">
        <x:v>Matched</x:v>
      </x:c>
    </x:row>
    <x:row r="31">
      <x:c r="A31" t="str">
        <x:v>PO500029</x:v>
      </x:c>
      <x:c r="B31" t="str">
        <x:v>2026-03-10</x:v>
      </x:c>
      <x:c r="C31" t="str">
        <x:v>V1010</x:v>
      </x:c>
      <x:c r="D31" t="str">
        <x:v>MAT2037</x:v>
      </x:c>
      <x:c r="E31" t="n">
        <x:v>134</x:v>
      </x:c>
      <x:c r="F31" t="n">
        <x:v>134</x:v>
      </x:c>
      <x:c r="G31" s="8" t="n">
        <x:v>1816.08</x:v>
      </x:c>
      <x:c r="H31" s="8" t="n">
        <x:v>243354.72</x:v>
      </x:c>
      <x:c r="I31" t="str">
        <x:v>2026-03-27</x:v>
      </x:c>
      <x:c r="J31" t="str">
        <x:v>2026-03-27</x:v>
      </x:c>
      <x:c r="K31" t="n">
        <x:v>0</x:v>
      </x:c>
      <x:c r="L31" t="str">
        <x:v>Complete</x:v>
      </x:c>
      <x:c r="M31" t="str">
        <x:v>Mismatch</x:v>
      </x:c>
    </x:row>
    <x:row r="32">
      <x:c r="A32" t="str">
        <x:v>PO500030</x:v>
      </x:c>
      <x:c r="B32" t="str">
        <x:v>2026-07-01</x:v>
      </x:c>
      <x:c r="C32" t="str">
        <x:v>V1030</x:v>
      </x:c>
      <x:c r="D32" t="str">
        <x:v>MAT2023</x:v>
      </x:c>
      <x:c r="E32" t="n">
        <x:v>20</x:v>
      </x:c>
      <x:c r="F32" t="n">
        <x:v>20</x:v>
      </x:c>
      <x:c r="G32" s="8" t="n">
        <x:v>1982.24</x:v>
      </x:c>
      <x:c r="H32" s="8" t="n">
        <x:v>39644.8</x:v>
      </x:c>
      <x:c r="I32" t="str">
        <x:v>2026-07-05</x:v>
      </x:c>
      <x:c r="J32" t="str">
        <x:v>2026-07-06</x:v>
      </x:c>
      <x:c r="K32" t="n">
        <x:v>1</x:v>
      </x:c>
      <x:c r="L32" t="str">
        <x:v>Complete</x:v>
      </x:c>
      <x:c r="M32" t="str">
        <x:v>Matched</x:v>
      </x:c>
    </x:row>
    <x:row r="33">
      <x:c r="A33" t="str">
        <x:v>PO500031</x:v>
      </x:c>
      <x:c r="B33" t="str">
        <x:v>2026-02-01</x:v>
      </x:c>
      <x:c r="C33" t="str">
        <x:v>V1025</x:v>
      </x:c>
      <x:c r="D33" t="str">
        <x:v>MAT2016</x:v>
      </x:c>
      <x:c r="E33" t="n">
        <x:v>432</x:v>
      </x:c>
      <x:c r="F33" t="n">
        <x:v>432</x:v>
      </x:c>
      <x:c r="G33" s="8" t="n">
        <x:v>862.48</x:v>
      </x:c>
      <x:c r="H33" s="8" t="n">
        <x:v>372591.36</x:v>
      </x:c>
      <x:c r="I33" t="str">
        <x:v>2026-02-13</x:v>
      </x:c>
      <x:c r="J33" t="str">
        <x:v>2026-02-15</x:v>
      </x:c>
      <x:c r="K33" t="n">
        <x:v>2</x:v>
      </x:c>
      <x:c r="L33" t="str">
        <x:v>Complete</x:v>
      </x:c>
      <x:c r="M33" t="str">
        <x:v>Mismatch</x:v>
      </x:c>
    </x:row>
    <x:row r="34">
      <x:c r="A34" t="str">
        <x:v>PO500032</x:v>
      </x:c>
      <x:c r="B34" t="str">
        <x:v>2026-05-20</x:v>
      </x:c>
      <x:c r="C34" t="str">
        <x:v>V1029</x:v>
      </x:c>
      <x:c r="D34" t="str">
        <x:v>MAT2031</x:v>
      </x:c>
      <x:c r="E34" t="n">
        <x:v>58</x:v>
      </x:c>
      <x:c r="F34" t="n">
        <x:v>58</x:v>
      </x:c>
      <x:c r="G34" s="8" t="n">
        <x:v>337.4</x:v>
      </x:c>
      <x:c r="H34" s="8" t="n">
        <x:v>19569.2</x:v>
      </x:c>
      <x:c r="I34" t="str">
        <x:v>2026-05-31</x:v>
      </x:c>
      <x:c r="J34" t="str">
        <x:v>2026-05-31</x:v>
      </x:c>
      <x:c r="K34" t="n">
        <x:v>0</x:v>
      </x:c>
      <x:c r="L34" t="str">
        <x:v>Complete</x:v>
      </x:c>
      <x:c r="M34" t="str">
        <x:v>Mismatch</x:v>
      </x:c>
    </x:row>
    <x:row r="35">
      <x:c r="A35" t="str">
        <x:v>PO500033</x:v>
      </x:c>
      <x:c r="B35" t="str">
        <x:v>2026-03-20</x:v>
      </x:c>
      <x:c r="C35" t="str">
        <x:v>V1001</x:v>
      </x:c>
      <x:c r="D35" t="str">
        <x:v>MAT2017</x:v>
      </x:c>
      <x:c r="E35" t="n">
        <x:v>145</x:v>
      </x:c>
      <x:c r="F35" t="n">
        <x:v>141</x:v>
      </x:c>
      <x:c r="G35" s="8" t="n">
        <x:v>1563.31</x:v>
      </x:c>
      <x:c r="H35" s="8" t="n">
        <x:v>226679.95</x:v>
      </x:c>
      <x:c r="I35" t="str">
        <x:v>2026-04-05</x:v>
      </x:c>
      <x:c r="J35" t="str">
        <x:v>2026-04-05</x:v>
      </x:c>
      <x:c r="K35" t="n">
        <x:v>0</x:v>
      </x:c>
      <x:c r="L35" t="str">
        <x:v>Partial</x:v>
      </x:c>
      <x:c r="M35" t="str">
        <x:v>Matched</x:v>
      </x:c>
    </x:row>
    <x:row r="36">
      <x:c r="A36" t="str">
        <x:v>PO500034</x:v>
      </x:c>
      <x:c r="B36" t="str">
        <x:v>2026-07-01</x:v>
      </x:c>
      <x:c r="C36" t="str">
        <x:v>V1031</x:v>
      </x:c>
      <x:c r="D36" t="str">
        <x:v>MAT2011</x:v>
      </x:c>
      <x:c r="E36" t="n">
        <x:v>272</x:v>
      </x:c>
      <x:c r="F36" t="n">
        <x:v>272</x:v>
      </x:c>
      <x:c r="G36" s="8" t="n">
        <x:v>580.58</x:v>
      </x:c>
      <x:c r="H36" s="8" t="n">
        <x:v>157917.76</x:v>
      </x:c>
      <x:c r="I36" t="str">
        <x:v>2026-07-14</x:v>
      </x:c>
      <x:c r="J36" t="str">
        <x:v>2026-07-14</x:v>
      </x:c>
      <x:c r="K36" t="n">
        <x:v>0</x:v>
      </x:c>
      <x:c r="L36" t="str">
        <x:v>Complete</x:v>
      </x:c>
      <x:c r="M36" t="str">
        <x:v>Pending</x:v>
      </x:c>
    </x:row>
    <x:row r="37">
      <x:c r="A37" t="str">
        <x:v>PO500035</x:v>
      </x:c>
      <x:c r="B37" t="str">
        <x:v>2026-01-07</x:v>
      </x:c>
      <x:c r="C37" t="str">
        <x:v>V1024</x:v>
      </x:c>
      <x:c r="D37" t="str">
        <x:v>MAT2050</x:v>
      </x:c>
      <x:c r="E37" t="n">
        <x:v>323</x:v>
      </x:c>
      <x:c r="F37" t="n">
        <x:v>323</x:v>
      </x:c>
      <x:c r="G37" s="8" t="n">
        <x:v>531.3</x:v>
      </x:c>
      <x:c r="H37" s="8" t="n">
        <x:v>171609.9</x:v>
      </x:c>
      <x:c r="I37" t="str">
        <x:v>2026-01-16</x:v>
      </x:c>
      <x:c r="J37" t="str">
        <x:v>2026-01-16</x:v>
      </x:c>
      <x:c r="K37" t="n">
        <x:v>0</x:v>
      </x:c>
      <x:c r="L37" t="str">
        <x:v>Complete</x:v>
      </x:c>
      <x:c r="M37" t="str">
        <x:v>Matched</x:v>
      </x:c>
    </x:row>
    <x:row r="38">
      <x:c r="A38" t="str">
        <x:v>PO500036</x:v>
      </x:c>
      <x:c r="B38" t="str">
        <x:v>2026-08-12</x:v>
      </x:c>
      <x:c r="C38" t="str">
        <x:v>V1009</x:v>
      </x:c>
      <x:c r="D38" t="str">
        <x:v>MAT2067</x:v>
      </x:c>
      <x:c r="E38" t="n">
        <x:v>263</x:v>
      </x:c>
      <x:c r="F38" t="n">
        <x:v>263</x:v>
      </x:c>
      <x:c r="G38" s="8" t="n">
        <x:v>1437.37</x:v>
      </x:c>
      <x:c r="H38" s="8" t="n">
        <x:v>378028.31</x:v>
      </x:c>
      <x:c r="I38" t="str">
        <x:v>2026-08-26</x:v>
      </x:c>
      <x:c r="J38" t="str">
        <x:v>2026-08-26</x:v>
      </x:c>
      <x:c r="K38" t="n">
        <x:v>0</x:v>
      </x:c>
      <x:c r="L38" t="str">
        <x:v>Complete</x:v>
      </x:c>
      <x:c r="M38" t="str">
        <x:v>Matched</x:v>
      </x:c>
    </x:row>
    <x:row r="39">
      <x:c r="A39" t="str">
        <x:v>PO500037</x:v>
      </x:c>
      <x:c r="B39" t="str">
        <x:v>2026-06-28</x:v>
      </x:c>
      <x:c r="C39" t="str">
        <x:v>V1019</x:v>
      </x:c>
      <x:c r="D39" t="str">
        <x:v>MAT2057</x:v>
      </x:c>
      <x:c r="E39" t="n">
        <x:v>277</x:v>
      </x:c>
      <x:c r="F39" t="n">
        <x:v>277</x:v>
      </x:c>
      <x:c r="G39" s="8" t="n">
        <x:v>176.82</x:v>
      </x:c>
      <x:c r="H39" s="8" t="n">
        <x:v>48979.14</x:v>
      </x:c>
      <x:c r="I39" t="str">
        <x:v>2026-07-05</x:v>
      </x:c>
      <x:c r="J39" t="str">
        <x:v>2026-07-08</x:v>
      </x:c>
      <x:c r="K39" t="n">
        <x:v>3</x:v>
      </x:c>
      <x:c r="L39" t="str">
        <x:v>Complete</x:v>
      </x:c>
      <x:c r="M39" t="str">
        <x:v>Matched</x:v>
      </x:c>
    </x:row>
    <x:row r="40">
      <x:c r="A40" t="str">
        <x:v>PO500038</x:v>
      </x:c>
      <x:c r="B40" t="str">
        <x:v>2026-02-07</x:v>
      </x:c>
      <x:c r="C40" t="str">
        <x:v>V1025</x:v>
      </x:c>
      <x:c r="D40" t="str">
        <x:v>MAT2037</x:v>
      </x:c>
      <x:c r="E40" t="n">
        <x:v>466</x:v>
      </x:c>
      <x:c r="F40" t="n">
        <x:v>466</x:v>
      </x:c>
      <x:c r="G40" s="8" t="n">
        <x:v>1147.71</x:v>
      </x:c>
      <x:c r="H40" s="8" t="n">
        <x:v>534832.86</x:v>
      </x:c>
      <x:c r="I40" t="str">
        <x:v>2026-02-26</x:v>
      </x:c>
      <x:c r="J40" t="str">
        <x:v>2026-02-26</x:v>
      </x:c>
      <x:c r="K40" t="n">
        <x:v>0</x:v>
      </x:c>
      <x:c r="L40" t="str">
        <x:v>Complete</x:v>
      </x:c>
      <x:c r="M40" t="str">
        <x:v>Pending</x:v>
      </x:c>
    </x:row>
    <x:row r="41">
      <x:c r="A41" t="str">
        <x:v>PO500039</x:v>
      </x:c>
      <x:c r="B41" t="str">
        <x:v>2026-03-07</x:v>
      </x:c>
      <x:c r="C41" t="str">
        <x:v>V1026</x:v>
      </x:c>
      <x:c r="D41" t="str">
        <x:v>MAT2051</x:v>
      </x:c>
      <x:c r="E41" t="n">
        <x:v>457</x:v>
      </x:c>
      <x:c r="F41" t="n">
        <x:v>457</x:v>
      </x:c>
      <x:c r="G41" s="8" t="n">
        <x:v>1702.95</x:v>
      </x:c>
      <x:c r="H41" s="8" t="n">
        <x:v>778248.15</x:v>
      </x:c>
      <x:c r="I41" t="str">
        <x:v>2026-03-21</x:v>
      </x:c>
      <x:c r="J41" t="str">
        <x:v>2026-03-23</x:v>
      </x:c>
      <x:c r="K41" t="n">
        <x:v>2</x:v>
      </x:c>
      <x:c r="L41" t="str">
        <x:v>Complete</x:v>
      </x:c>
      <x:c r="M41" t="str">
        <x:v>Matched</x:v>
      </x:c>
    </x:row>
    <x:row r="42">
      <x:c r="A42" t="str">
        <x:v>PO500040</x:v>
      </x:c>
      <x:c r="B42" t="str">
        <x:v>2026-06-08</x:v>
      </x:c>
      <x:c r="C42" t="str">
        <x:v>V1003</x:v>
      </x:c>
      <x:c r="D42" t="str">
        <x:v>MAT2067</x:v>
      </x:c>
      <x:c r="E42" t="n">
        <x:v>424</x:v>
      </x:c>
      <x:c r="F42" t="n">
        <x:v>424</x:v>
      </x:c>
      <x:c r="G42" s="8" t="n">
        <x:v>743.98</x:v>
      </x:c>
      <x:c r="H42" s="8" t="n">
        <x:v>315447.52</x:v>
      </x:c>
      <x:c r="I42" t="str">
        <x:v>2026-06-14</x:v>
      </x:c>
      <x:c r="J42" t="str">
        <x:v>2026-06-26</x:v>
      </x:c>
      <x:c r="K42" t="n">
        <x:v>12</x:v>
      </x:c>
      <x:c r="L42" t="str">
        <x:v>Complete</x:v>
      </x:c>
      <x:c r="M42" t="str">
        <x:v>Matched</x:v>
      </x:c>
    </x:row>
    <x:row r="43">
      <x:c r="A43" t="str">
        <x:v>PO500041</x:v>
      </x:c>
      <x:c r="B43" t="str">
        <x:v>2026-01-20</x:v>
      </x:c>
      <x:c r="C43" t="str">
        <x:v>V1027</x:v>
      </x:c>
      <x:c r="D43" t="str">
        <x:v>MAT2040</x:v>
      </x:c>
      <x:c r="E43" t="n">
        <x:v>167</x:v>
      </x:c>
      <x:c r="F43" t="n">
        <x:v>167</x:v>
      </x:c>
      <x:c r="G43" s="8" t="n">
        <x:v>2197.75</x:v>
      </x:c>
      <x:c r="H43" s="8" t="n">
        <x:v>367024.25</x:v>
      </x:c>
      <x:c r="I43" t="str">
        <x:v>2026-01-23</x:v>
      </x:c>
      <x:c r="J43" t="str">
        <x:v>2026-01-23</x:v>
      </x:c>
      <x:c r="K43" t="n">
        <x:v>0</x:v>
      </x:c>
      <x:c r="L43" t="str">
        <x:v>Complete</x:v>
      </x:c>
      <x:c r="M43" t="str">
        <x:v>Matched</x:v>
      </x:c>
    </x:row>
    <x:row r="44">
      <x:c r="A44" t="str">
        <x:v>PO500042</x:v>
      </x:c>
      <x:c r="B44" t="str">
        <x:v>2026-04-02</x:v>
      </x:c>
      <x:c r="C44" t="str">
        <x:v>V1019</x:v>
      </x:c>
      <x:c r="D44" t="str">
        <x:v>MAT2035</x:v>
      </x:c>
      <x:c r="E44" t="n">
        <x:v>483</x:v>
      </x:c>
      <x:c r="F44" t="n">
        <x:v>483</x:v>
      </x:c>
      <x:c r="G44" s="8" t="n">
        <x:v>2209.24</x:v>
      </x:c>
      <x:c r="H44" s="8" t="n">
        <x:v>1067062.92</x:v>
      </x:c>
      <x:c r="I44" t="str">
        <x:v>2026-04-07</x:v>
      </x:c>
      <x:c r="J44" t="str">
        <x:v>2026-04-15</x:v>
      </x:c>
      <x:c r="K44" t="n">
        <x:v>8</x:v>
      </x:c>
      <x:c r="L44" t="str">
        <x:v>Complete</x:v>
      </x:c>
      <x:c r="M44" t="str">
        <x:v>Mismatch</x:v>
      </x:c>
    </x:row>
    <x:row r="45">
      <x:c r="A45" t="str">
        <x:v>PO500043</x:v>
      </x:c>
      <x:c r="B45" t="str">
        <x:v>2026-06-26</x:v>
      </x:c>
      <x:c r="C45" t="str">
        <x:v>V1030</x:v>
      </x:c>
      <x:c r="D45" t="str">
        <x:v>MAT2015</x:v>
      </x:c>
      <x:c r="E45" t="n">
        <x:v>483</x:v>
      </x:c>
      <x:c r="F45" t="n">
        <x:v>483</x:v>
      </x:c>
      <x:c r="G45" s="8" t="n">
        <x:v>1955.39</x:v>
      </x:c>
      <x:c r="H45" s="8" t="n">
        <x:v>944453.37</x:v>
      </x:c>
      <x:c r="I45" t="str">
        <x:v>2026-07-09</x:v>
      </x:c>
      <x:c r="J45" t="str">
        <x:v>2026-07-12</x:v>
      </x:c>
      <x:c r="K45" t="n">
        <x:v>3</x:v>
      </x:c>
      <x:c r="L45" t="str">
        <x:v>Complete</x:v>
      </x:c>
      <x:c r="M45" t="str">
        <x:v>Mismatch</x:v>
      </x:c>
    </x:row>
    <x:row r="46">
      <x:c r="A46" t="str">
        <x:v>PO500044</x:v>
      </x:c>
      <x:c r="B46" t="str">
        <x:v>2026-03-02</x:v>
      </x:c>
      <x:c r="C46" t="str">
        <x:v>V1024</x:v>
      </x:c>
      <x:c r="D46" t="str">
        <x:v>MAT2039</x:v>
      </x:c>
      <x:c r="E46" t="n">
        <x:v>302</x:v>
      </x:c>
      <x:c r="F46" t="n">
        <x:v>302</x:v>
      </x:c>
      <x:c r="G46" s="8" t="n">
        <x:v>565.02</x:v>
      </x:c>
      <x:c r="H46" s="8" t="n">
        <x:v>170636.04</x:v>
      </x:c>
      <x:c r="I46" t="str">
        <x:v>2026-03-22</x:v>
      </x:c>
      <x:c r="J46" t="str">
        <x:v>2026-03-22</x:v>
      </x:c>
      <x:c r="K46" t="n">
        <x:v>0</x:v>
      </x:c>
      <x:c r="L46" t="str">
        <x:v>Complete</x:v>
      </x:c>
      <x:c r="M46" t="str">
        <x:v>Matched</x:v>
      </x:c>
    </x:row>
    <x:row r="47">
      <x:c r="A47" t="str">
        <x:v>PO500045</x:v>
      </x:c>
      <x:c r="B47" t="str">
        <x:v>2026-04-06</x:v>
      </x:c>
      <x:c r="C47" t="str">
        <x:v>V1027</x:v>
      </x:c>
      <x:c r="D47" t="str">
        <x:v>MAT2051</x:v>
      </x:c>
      <x:c r="E47" t="n">
        <x:v>15</x:v>
      </x:c>
      <x:c r="F47" t="n">
        <x:v>15</x:v>
      </x:c>
      <x:c r="G47" s="8" t="n">
        <x:v>1337.76</x:v>
      </x:c>
      <x:c r="H47" s="8" t="n">
        <x:v>20066.4</x:v>
      </x:c>
      <x:c r="I47" t="str">
        <x:v>2026-04-18</x:v>
      </x:c>
      <x:c r="J47" t="str">
        <x:v>2026-04-18</x:v>
      </x:c>
      <x:c r="K47" t="n">
        <x:v>0</x:v>
      </x:c>
      <x:c r="L47" t="str">
        <x:v>Complete</x:v>
      </x:c>
      <x:c r="M47" t="str">
        <x:v>Mismatch</x:v>
      </x:c>
    </x:row>
    <x:row r="48">
      <x:c r="A48" t="str">
        <x:v>PO500046</x:v>
      </x:c>
      <x:c r="B48" t="str">
        <x:v>2026-03-05</x:v>
      </x:c>
      <x:c r="C48" t="str">
        <x:v>V1018</x:v>
      </x:c>
      <x:c r="D48" t="str">
        <x:v>MAT2001</x:v>
      </x:c>
      <x:c r="E48" t="n">
        <x:v>354</x:v>
      </x:c>
      <x:c r="F48" t="n">
        <x:v>354</x:v>
      </x:c>
      <x:c r="G48" s="8" t="n">
        <x:v>2405.79</x:v>
      </x:c>
      <x:c r="H48" s="8" t="n">
        <x:v>851649.66</x:v>
      </x:c>
      <x:c r="I48" t="str">
        <x:v>2026-03-20</x:v>
      </x:c>
      <x:c r="J48" t="str">
        <x:v>2026-03-20</x:v>
      </x:c>
      <x:c r="K48" t="n">
        <x:v>0</x:v>
      </x:c>
      <x:c r="L48" t="str">
        <x:v>Complete</x:v>
      </x:c>
      <x:c r="M48" t="str">
        <x:v>Pending</x:v>
      </x:c>
    </x:row>
    <x:row r="49">
      <x:c r="A49" t="str">
        <x:v>PO500047</x:v>
      </x:c>
      <x:c r="B49" t="str">
        <x:v>2026-01-06</x:v>
      </x:c>
      <x:c r="C49" t="str">
        <x:v>V1033</x:v>
      </x:c>
      <x:c r="D49" t="str">
        <x:v>MAT2075</x:v>
      </x:c>
      <x:c r="E49" t="n">
        <x:v>356</x:v>
      </x:c>
      <x:c r="F49" t="n">
        <x:v>356</x:v>
      </x:c>
      <x:c r="G49" s="8" t="n">
        <x:v>2171.8</x:v>
      </x:c>
      <x:c r="H49" s="8" t="n">
        <x:v>773160.8</x:v>
      </x:c>
      <x:c r="I49" t="str">
        <x:v>2026-01-22</x:v>
      </x:c>
      <x:c r="J49" t="str">
        <x:v>2026-01-27</x:v>
      </x:c>
      <x:c r="K49" t="n">
        <x:v>5</x:v>
      </x:c>
      <x:c r="L49" t="str">
        <x:v>Complete</x:v>
      </x:c>
      <x:c r="M49" t="str">
        <x:v>Matched</x:v>
      </x:c>
    </x:row>
    <x:row r="50">
      <x:c r="A50" t="str">
        <x:v>PO500048</x:v>
      </x:c>
      <x:c r="B50" t="str">
        <x:v>2026-08-12</x:v>
      </x:c>
      <x:c r="C50" t="str">
        <x:v>V1000</x:v>
      </x:c>
      <x:c r="D50" t="str">
        <x:v>MAT2076</x:v>
      </x:c>
      <x:c r="E50" t="n">
        <x:v>52</x:v>
      </x:c>
      <x:c r="F50" t="n">
        <x:v>52</x:v>
      </x:c>
      <x:c r="G50" s="8" t="n">
        <x:v>1944.84</x:v>
      </x:c>
      <x:c r="H50" s="8" t="n">
        <x:v>101131.68</x:v>
      </x:c>
      <x:c r="I50" t="str">
        <x:v>2026-08-16</x:v>
      </x:c>
      <x:c r="J50" t="str">
        <x:v>2026-08-21</x:v>
      </x:c>
      <x:c r="K50" t="n">
        <x:v>5</x:v>
      </x:c>
      <x:c r="L50" t="str">
        <x:v>Complete</x:v>
      </x:c>
      <x:c r="M50" t="str">
        <x:v>Matched</x:v>
      </x:c>
    </x:row>
    <x:row r="51">
      <x:c r="A51" t="str">
        <x:v>PO500049</x:v>
      </x:c>
      <x:c r="B51" t="str">
        <x:v>2026-02-26</x:v>
      </x:c>
      <x:c r="C51" t="str">
        <x:v>V1021</x:v>
      </x:c>
      <x:c r="D51" t="str">
        <x:v>MAT2034</x:v>
      </x:c>
      <x:c r="E51" t="n">
        <x:v>96</x:v>
      </x:c>
      <x:c r="F51" t="n">
        <x:v>93</x:v>
      </x:c>
      <x:c r="G51" s="8" t="n">
        <x:v>844.79</x:v>
      </x:c>
      <x:c r="H51" s="8" t="n">
        <x:v>81099.84</x:v>
      </x:c>
      <x:c r="I51" t="str">
        <x:v>2026-03-15</x:v>
      </x:c>
      <x:c r="J51" t="str">
        <x:v>2026-03-15</x:v>
      </x:c>
      <x:c r="K51" t="n">
        <x:v>0</x:v>
      </x:c>
      <x:c r="L51" t="str">
        <x:v>Partial</x:v>
      </x:c>
      <x:c r="M51" t="str">
        <x:v>Matched</x:v>
      </x:c>
    </x:row>
    <x:row r="52">
      <x:c r="A52" t="str">
        <x:v>PO500050</x:v>
      </x:c>
      <x:c r="B52" t="str">
        <x:v>2026-08-18</x:v>
      </x:c>
      <x:c r="C52" t="str">
        <x:v>V1022</x:v>
      </x:c>
      <x:c r="D52" t="str">
        <x:v>MAT2077</x:v>
      </x:c>
      <x:c r="E52" t="n">
        <x:v>73</x:v>
      </x:c>
      <x:c r="F52" t="n">
        <x:v>73</x:v>
      </x:c>
      <x:c r="G52" s="8" t="n">
        <x:v>1069.23</x:v>
      </x:c>
      <x:c r="H52" s="8" t="n">
        <x:v>78053.79</x:v>
      </x:c>
      <x:c r="I52" t="str">
        <x:v>2026-08-22</x:v>
      </x:c>
      <x:c r="J52" t="str">
        <x:v>2026-08-22</x:v>
      </x:c>
      <x:c r="K52" t="n">
        <x:v>0</x:v>
      </x:c>
      <x:c r="L52" t="str">
        <x:v>Complete</x:v>
      </x:c>
      <x:c r="M52" t="str">
        <x:v>Matched</x:v>
      </x:c>
    </x:row>
    <x:row r="53">
      <x:c r="A53" t="str">
        <x:v>PO500051</x:v>
      </x:c>
      <x:c r="B53" t="str">
        <x:v>2026-05-22</x:v>
      </x:c>
      <x:c r="C53" t="str">
        <x:v>V1002</x:v>
      </x:c>
      <x:c r="D53" t="str">
        <x:v>MAT2074</x:v>
      </x:c>
      <x:c r="E53" t="n">
        <x:v>417</x:v>
      </x:c>
      <x:c r="F53" t="n">
        <x:v>417</x:v>
      </x:c>
      <x:c r="G53" s="8" t="n">
        <x:v>2315.19</x:v>
      </x:c>
      <x:c r="H53" s="8" t="n">
        <x:v>965434.23</x:v>
      </x:c>
      <x:c r="I53" t="str">
        <x:v>2026-05-28</x:v>
      </x:c>
      <x:c r="J53" t="str">
        <x:v>2026-05-30</x:v>
      </x:c>
      <x:c r="K53" t="n">
        <x:v>2</x:v>
      </x:c>
      <x:c r="L53" t="str">
        <x:v>Complete</x:v>
      </x:c>
      <x:c r="M53" t="str">
        <x:v>Matched</x:v>
      </x:c>
    </x:row>
    <x:row r="54">
      <x:c r="A54" t="str">
        <x:v>PO500052</x:v>
      </x:c>
      <x:c r="B54" t="str">
        <x:v>2026-05-24</x:v>
      </x:c>
      <x:c r="C54" t="str">
        <x:v>V1013</x:v>
      </x:c>
      <x:c r="D54" t="str">
        <x:v>MAT2075</x:v>
      </x:c>
      <x:c r="E54" t="n">
        <x:v>210</x:v>
      </x:c>
      <x:c r="F54" t="n">
        <x:v>205</x:v>
      </x:c>
      <x:c r="G54" s="8" t="n">
        <x:v>320.74</x:v>
      </x:c>
      <x:c r="H54" s="8" t="n">
        <x:v>67355.4</x:v>
      </x:c>
      <x:c r="I54" t="str">
        <x:v>2026-06-01</x:v>
      </x:c>
      <x:c r="J54" t="str">
        <x:v>2026-06-01</x:v>
      </x:c>
      <x:c r="K54" t="n">
        <x:v>0</x:v>
      </x:c>
      <x:c r="L54" t="str">
        <x:v>Partial</x:v>
      </x:c>
      <x:c r="M54" t="str">
        <x:v>Matched</x:v>
      </x:c>
    </x:row>
    <x:row r="55">
      <x:c r="A55" t="str">
        <x:v>PO500053</x:v>
      </x:c>
      <x:c r="B55" t="str">
        <x:v>2026-06-13</x:v>
      </x:c>
      <x:c r="C55" t="str">
        <x:v>V1022</x:v>
      </x:c>
      <x:c r="D55" t="str">
        <x:v>MAT2024</x:v>
      </x:c>
      <x:c r="E55" t="n">
        <x:v>333</x:v>
      </x:c>
      <x:c r="F55" t="n">
        <x:v>333</x:v>
      </x:c>
      <x:c r="G55" s="8" t="n">
        <x:v>148.97</x:v>
      </x:c>
      <x:c r="H55" s="8" t="n">
        <x:v>49607.01</x:v>
      </x:c>
      <x:c r="I55" t="str">
        <x:v>2026-06-23</x:v>
      </x:c>
      <x:c r="J55" t="str">
        <x:v>2026-06-23</x:v>
      </x:c>
      <x:c r="K55" t="n">
        <x:v>0</x:v>
      </x:c>
      <x:c r="L55" t="str">
        <x:v>Complete</x:v>
      </x:c>
      <x:c r="M55" t="str">
        <x:v>Mismatch</x:v>
      </x:c>
    </x:row>
    <x:row r="56">
      <x:c r="A56" t="str">
        <x:v>PO500054</x:v>
      </x:c>
      <x:c r="B56" t="str">
        <x:v>2026-01-29</x:v>
      </x:c>
      <x:c r="C56" t="str">
        <x:v>V1031</x:v>
      </x:c>
      <x:c r="D56" t="str">
        <x:v>MAT2060</x:v>
      </x:c>
      <x:c r="E56" t="n">
        <x:v>86</x:v>
      </x:c>
      <x:c r="F56" t="n">
        <x:v>86</x:v>
      </x:c>
      <x:c r="G56" s="8" t="n">
        <x:v>1201.88</x:v>
      </x:c>
      <x:c r="H56" s="8" t="n">
        <x:v>103361.68</x:v>
      </x:c>
      <x:c r="I56" t="str">
        <x:v>2026-02-02</x:v>
      </x:c>
      <x:c r="J56" t="str">
        <x:v>2026-02-02</x:v>
      </x:c>
      <x:c r="K56" t="n">
        <x:v>0</x:v>
      </x:c>
      <x:c r="L56" t="str">
        <x:v>Complete</x:v>
      </x:c>
      <x:c r="M56" t="str">
        <x:v>Matched</x:v>
      </x:c>
    </x:row>
    <x:row r="57">
      <x:c r="A57" t="str">
        <x:v>PO500055</x:v>
      </x:c>
      <x:c r="B57" t="str">
        <x:v>2026-01-31</x:v>
      </x:c>
      <x:c r="C57" t="str">
        <x:v>V1011</x:v>
      </x:c>
      <x:c r="D57" t="str">
        <x:v>MAT2061</x:v>
      </x:c>
      <x:c r="E57" t="n">
        <x:v>52</x:v>
      </x:c>
      <x:c r="F57" t="n">
        <x:v>51</x:v>
      </x:c>
      <x:c r="G57" s="8" t="n">
        <x:v>1801.41</x:v>
      </x:c>
      <x:c r="H57" s="8" t="n">
        <x:v>93673.32</x:v>
      </x:c>
      <x:c r="I57" t="str">
        <x:v>2026-02-14</x:v>
      </x:c>
      <x:c r="J57" t="str">
        <x:v>2026-02-14</x:v>
      </x:c>
      <x:c r="K57" t="n">
        <x:v>0</x:v>
      </x:c>
      <x:c r="L57" t="str">
        <x:v>Partial</x:v>
      </x:c>
      <x:c r="M57" t="str">
        <x:v>Mismatch</x:v>
      </x:c>
    </x:row>
    <x:row r="58">
      <x:c r="A58" t="str">
        <x:v>PO500056</x:v>
      </x:c>
      <x:c r="B58" t="str">
        <x:v>2026-01-18</x:v>
      </x:c>
      <x:c r="C58" t="str">
        <x:v>V1014</x:v>
      </x:c>
      <x:c r="D58" t="str">
        <x:v>MAT2017</x:v>
      </x:c>
      <x:c r="E58" t="n">
        <x:v>308</x:v>
      </x:c>
      <x:c r="F58" t="n">
        <x:v>308</x:v>
      </x:c>
      <x:c r="G58" s="8" t="n">
        <x:v>302.24</x:v>
      </x:c>
      <x:c r="H58" s="8" t="n">
        <x:v>93089.92</x:v>
      </x:c>
      <x:c r="I58" t="str">
        <x:v>2026-01-24</x:v>
      </x:c>
      <x:c r="J58" t="str">
        <x:v>2026-01-24</x:v>
      </x:c>
      <x:c r="K58" t="n">
        <x:v>0</x:v>
      </x:c>
      <x:c r="L58" t="str">
        <x:v>Complete</x:v>
      </x:c>
      <x:c r="M58" t="str">
        <x:v>Pending</x:v>
      </x:c>
    </x:row>
    <x:row r="59">
      <x:c r="A59" t="str">
        <x:v>PO500057</x:v>
      </x:c>
      <x:c r="B59" t="str">
        <x:v>2026-06-29</x:v>
      </x:c>
      <x:c r="C59" t="str">
        <x:v>V1020</x:v>
      </x:c>
      <x:c r="D59" t="str">
        <x:v>MAT2039</x:v>
      </x:c>
      <x:c r="E59" t="n">
        <x:v>349</x:v>
      </x:c>
      <x:c r="F59" t="n">
        <x:v>349</x:v>
      </x:c>
      <x:c r="G59" s="8" t="n">
        <x:v>2186.23</x:v>
      </x:c>
      <x:c r="H59" s="8" t="n">
        <x:v>762994.27</x:v>
      </x:c>
      <x:c r="I59" t="str">
        <x:v>2026-07-05</x:v>
      </x:c>
      <x:c r="J59" t="str">
        <x:v>2026-07-05</x:v>
      </x:c>
      <x:c r="K59" t="n">
        <x:v>0</x:v>
      </x:c>
      <x:c r="L59" t="str">
        <x:v>Complete</x:v>
      </x:c>
      <x:c r="M59" t="str">
        <x:v>Matched</x:v>
      </x:c>
    </x:row>
    <x:row r="60">
      <x:c r="A60" t="str">
        <x:v>PO500058</x:v>
      </x:c>
      <x:c r="B60" t="str">
        <x:v>2026-01-28</x:v>
      </x:c>
      <x:c r="C60" t="str">
        <x:v>V1002</x:v>
      </x:c>
      <x:c r="D60" t="str">
        <x:v>MAT2038</x:v>
      </x:c>
      <x:c r="E60" t="n">
        <x:v>242</x:v>
      </x:c>
      <x:c r="F60" t="n">
        <x:v>242</x:v>
      </x:c>
      <x:c r="G60" s="8" t="n">
        <x:v>1038.46</x:v>
      </x:c>
      <x:c r="H60" s="8" t="n">
        <x:v>251307.32</x:v>
      </x:c>
      <x:c r="I60" t="str">
        <x:v>2026-01-31</x:v>
      </x:c>
      <x:c r="J60" t="str">
        <x:v>2026-01-31</x:v>
      </x:c>
      <x:c r="K60" t="n">
        <x:v>0</x:v>
      </x:c>
      <x:c r="L60" t="str">
        <x:v>Complete</x:v>
      </x:c>
      <x:c r="M60" t="str">
        <x:v>Matched</x:v>
      </x:c>
    </x:row>
    <x:row r="61">
      <x:c r="A61" t="str">
        <x:v>PO500059</x:v>
      </x:c>
      <x:c r="B61" t="str">
        <x:v>2026-06-22</x:v>
      </x:c>
      <x:c r="C61" t="str">
        <x:v>V1015</x:v>
      </x:c>
      <x:c r="D61" t="str">
        <x:v>MAT2038</x:v>
      </x:c>
      <x:c r="E61" t="n">
        <x:v>167</x:v>
      </x:c>
      <x:c r="F61" t="n">
        <x:v>165</x:v>
      </x:c>
      <x:c r="G61" s="8" t="n">
        <x:v>287.44</x:v>
      </x:c>
      <x:c r="H61" s="8" t="n">
        <x:v>48002.48</x:v>
      </x:c>
      <x:c r="I61" t="str">
        <x:v>2026-07-09</x:v>
      </x:c>
      <x:c r="J61" t="str">
        <x:v>2026-07-09</x:v>
      </x:c>
      <x:c r="K61" t="n">
        <x:v>0</x:v>
      </x:c>
      <x:c r="L61" t="str">
        <x:v>Partial</x:v>
      </x:c>
      <x:c r="M61" t="str">
        <x:v>Matched</x:v>
      </x:c>
    </x:row>
    <x:row r="62">
      <x:c r="A62" t="str">
        <x:v>PO500060</x:v>
      </x:c>
      <x:c r="B62" t="str">
        <x:v>2026-02-04</x:v>
      </x:c>
      <x:c r="C62" t="str">
        <x:v>V1010</x:v>
      </x:c>
      <x:c r="D62" t="str">
        <x:v>MAT2023</x:v>
      </x:c>
      <x:c r="E62" t="n">
        <x:v>350</x:v>
      </x:c>
      <x:c r="F62" t="n">
        <x:v>350</x:v>
      </x:c>
      <x:c r="G62" s="8" t="n">
        <x:v>552.76</x:v>
      </x:c>
      <x:c r="H62" s="8" t="n">
        <x:v>193466</x:v>
      </x:c>
      <x:c r="I62" t="str">
        <x:v>2026-02-24</x:v>
      </x:c>
      <x:c r="J62" t="str">
        <x:v>2026-02-24</x:v>
      </x:c>
      <x:c r="K62" t="n">
        <x:v>0</x:v>
      </x:c>
      <x:c r="L62" t="str">
        <x:v>Complete</x:v>
      </x:c>
      <x:c r="M62" t="str">
        <x:v>Matched</x:v>
      </x:c>
    </x:row>
    <x:row r="63">
      <x:c r="A63" t="str">
        <x:v>PO500061</x:v>
      </x:c>
      <x:c r="B63" t="str">
        <x:v>2026-03-25</x:v>
      </x:c>
      <x:c r="C63" t="str">
        <x:v>V1012</x:v>
      </x:c>
      <x:c r="D63" t="str">
        <x:v>MAT2022</x:v>
      </x:c>
      <x:c r="E63" t="n">
        <x:v>23</x:v>
      </x:c>
      <x:c r="F63" t="n">
        <x:v>23</x:v>
      </x:c>
      <x:c r="G63" s="8" t="n">
        <x:v>969.87</x:v>
      </x:c>
      <x:c r="H63" s="8" t="n">
        <x:v>22307.01</x:v>
      </x:c>
      <x:c r="I63" t="str">
        <x:v>2026-04-06</x:v>
      </x:c>
      <x:c r="J63" t="str">
        <x:v>2026-04-06</x:v>
      </x:c>
      <x:c r="K63" t="n">
        <x:v>0</x:v>
      </x:c>
      <x:c r="L63" t="str">
        <x:v>Complete</x:v>
      </x:c>
      <x:c r="M63" t="str">
        <x:v>Matched</x:v>
      </x:c>
    </x:row>
    <x:row r="64">
      <x:c r="A64" t="str">
        <x:v>PO500062</x:v>
      </x:c>
      <x:c r="B64" t="str">
        <x:v>2026-08-28</x:v>
      </x:c>
      <x:c r="C64" t="str">
        <x:v>V1014</x:v>
      </x:c>
      <x:c r="D64" t="str">
        <x:v>MAT2004</x:v>
      </x:c>
      <x:c r="E64" t="n">
        <x:v>103</x:v>
      </x:c>
      <x:c r="F64" t="n">
        <x:v>103</x:v>
      </x:c>
      <x:c r="G64" s="8" t="n">
        <x:v>2034.35</x:v>
      </x:c>
      <x:c r="H64" s="8" t="n">
        <x:v>209538.05</x:v>
      </x:c>
      <x:c r="I64" t="str">
        <x:v>2026-09-11</x:v>
      </x:c>
      <x:c r="J64" t="str">
        <x:v>2026-09-11</x:v>
      </x:c>
      <x:c r="K64" t="n">
        <x:v>0</x:v>
      </x:c>
      <x:c r="L64" t="str">
        <x:v>Complete</x:v>
      </x:c>
      <x:c r="M64" t="str">
        <x:v>Matched</x:v>
      </x:c>
    </x:row>
    <x:row r="65">
      <x:c r="A65" t="str">
        <x:v>PO500063</x:v>
      </x:c>
      <x:c r="B65" t="str">
        <x:v>2026-01-12</x:v>
      </x:c>
      <x:c r="C65" t="str">
        <x:v>V1020</x:v>
      </x:c>
      <x:c r="D65" t="str">
        <x:v>MAT2007</x:v>
      </x:c>
      <x:c r="E65" t="n">
        <x:v>285</x:v>
      </x:c>
      <x:c r="F65" t="n">
        <x:v>285</x:v>
      </x:c>
      <x:c r="G65" s="8" t="n">
        <x:v>2191.63</x:v>
      </x:c>
      <x:c r="H65" s="8" t="n">
        <x:v>624614.55</x:v>
      </x:c>
      <x:c r="I65" t="str">
        <x:v>2026-01-15</x:v>
      </x:c>
      <x:c r="J65" t="str">
        <x:v>2026-01-15</x:v>
      </x:c>
      <x:c r="K65" t="n">
        <x:v>0</x:v>
      </x:c>
      <x:c r="L65" t="str">
        <x:v>Complete</x:v>
      </x:c>
      <x:c r="M65" t="str">
        <x:v>Pending</x:v>
      </x:c>
    </x:row>
    <x:row r="66">
      <x:c r="A66" t="str">
        <x:v>PO500064</x:v>
      </x:c>
      <x:c r="B66" t="str">
        <x:v>2026-06-13</x:v>
      </x:c>
      <x:c r="C66" t="str">
        <x:v>V1010</x:v>
      </x:c>
      <x:c r="D66" t="str">
        <x:v>MAT2048</x:v>
      </x:c>
      <x:c r="E66" t="n">
        <x:v>328</x:v>
      </x:c>
      <x:c r="F66" t="n">
        <x:v>328</x:v>
      </x:c>
      <x:c r="G66" s="8" t="n">
        <x:v>2254.12</x:v>
      </x:c>
      <x:c r="H66" s="8" t="n">
        <x:v>739351.36</x:v>
      </x:c>
      <x:c r="I66" t="str">
        <x:v>2026-06-25</x:v>
      </x:c>
      <x:c r="J66" t="str">
        <x:v>2026-07-03</x:v>
      </x:c>
      <x:c r="K66" t="n">
        <x:v>8</x:v>
      </x:c>
      <x:c r="L66" t="str">
        <x:v>Complete</x:v>
      </x:c>
      <x:c r="M66" t="str">
        <x:v>Pending</x:v>
      </x:c>
    </x:row>
    <x:row r="67">
      <x:c r="A67" t="str">
        <x:v>PO500065</x:v>
      </x:c>
      <x:c r="B67" t="str">
        <x:v>2026-05-03</x:v>
      </x:c>
      <x:c r="C67" t="str">
        <x:v>V1004</x:v>
      </x:c>
      <x:c r="D67" t="str">
        <x:v>MAT2032</x:v>
      </x:c>
      <x:c r="E67" t="n">
        <x:v>351</x:v>
      </x:c>
      <x:c r="F67" t="n">
        <x:v>351</x:v>
      </x:c>
      <x:c r="G67" s="8" t="n">
        <x:v>114.23</x:v>
      </x:c>
      <x:c r="H67" s="8" t="n">
        <x:v>40094.73</x:v>
      </x:c>
      <x:c r="I67" t="str">
        <x:v>2026-05-23</x:v>
      </x:c>
      <x:c r="J67" t="str">
        <x:v>2026-05-25</x:v>
      </x:c>
      <x:c r="K67" t="n">
        <x:v>2</x:v>
      </x:c>
      <x:c r="L67" t="str">
        <x:v>Complete</x:v>
      </x:c>
      <x:c r="M67" t="str">
        <x:v>Mismatch</x:v>
      </x:c>
    </x:row>
    <x:row r="68">
      <x:c r="A68" t="str">
        <x:v>PO500066</x:v>
      </x:c>
      <x:c r="B68" t="str">
        <x:v>2026-05-04</x:v>
      </x:c>
      <x:c r="C68" t="str">
        <x:v>V1006</x:v>
      </x:c>
      <x:c r="D68" t="str">
        <x:v>MAT2026</x:v>
      </x:c>
      <x:c r="E68" t="n">
        <x:v>241</x:v>
      </x:c>
      <x:c r="F68" t="n">
        <x:v>241</x:v>
      </x:c>
      <x:c r="G68" s="8" t="n">
        <x:v>450.95</x:v>
      </x:c>
      <x:c r="H68" s="8" t="n">
        <x:v>108678.95</x:v>
      </x:c>
      <x:c r="I68" t="str">
        <x:v>2026-05-09</x:v>
      </x:c>
      <x:c r="J68" t="str">
        <x:v>2026-05-14</x:v>
      </x:c>
      <x:c r="K68" t="n">
        <x:v>5</x:v>
      </x:c>
      <x:c r="L68" t="str">
        <x:v>Complete</x:v>
      </x:c>
      <x:c r="M68" t="str">
        <x:v>Mismatch</x:v>
      </x:c>
    </x:row>
    <x:row r="69">
      <x:c r="A69" t="str">
        <x:v>PO500067</x:v>
      </x:c>
      <x:c r="B69" t="str">
        <x:v>2026-02-04</x:v>
      </x:c>
      <x:c r="C69" t="str">
        <x:v>V1017</x:v>
      </x:c>
      <x:c r="D69" t="str">
        <x:v>MAT2046</x:v>
      </x:c>
      <x:c r="E69" t="n">
        <x:v>275</x:v>
      </x:c>
      <x:c r="F69" t="n">
        <x:v>253</x:v>
      </x:c>
      <x:c r="G69" s="8" t="n">
        <x:v>1113.71</x:v>
      </x:c>
      <x:c r="H69" s="8" t="n">
        <x:v>306270.25</x:v>
      </x:c>
      <x:c r="I69" t="str">
        <x:v>2026-02-21</x:v>
      </x:c>
      <x:c r="J69" t="str">
        <x:v>2026-02-21</x:v>
      </x:c>
      <x:c r="K69" t="n">
        <x:v>0</x:v>
      </x:c>
      <x:c r="L69" t="str">
        <x:v>Partial</x:v>
      </x:c>
      <x:c r="M69" t="str">
        <x:v>Mismatch</x:v>
      </x:c>
    </x:row>
    <x:row r="70">
      <x:c r="A70" t="str">
        <x:v>PO500068</x:v>
      </x:c>
      <x:c r="B70" t="str">
        <x:v>2026-04-07</x:v>
      </x:c>
      <x:c r="C70" t="str">
        <x:v>V1011</x:v>
      </x:c>
      <x:c r="D70" t="str">
        <x:v>MAT2055</x:v>
      </x:c>
      <x:c r="E70" t="n">
        <x:v>336</x:v>
      </x:c>
      <x:c r="F70" t="n">
        <x:v>336</x:v>
      </x:c>
      <x:c r="G70" s="8" t="n">
        <x:v>332.35</x:v>
      </x:c>
      <x:c r="H70" s="8" t="n">
        <x:v>111669.6</x:v>
      </x:c>
      <x:c r="I70" t="str">
        <x:v>2026-04-19</x:v>
      </x:c>
      <x:c r="J70" t="str">
        <x:v>2026-04-22</x:v>
      </x:c>
      <x:c r="K70" t="n">
        <x:v>3</x:v>
      </x:c>
      <x:c r="L70" t="str">
        <x:v>Complete</x:v>
      </x:c>
      <x:c r="M70" t="str">
        <x:v>Matched</x:v>
      </x:c>
    </x:row>
    <x:row r="71">
      <x:c r="A71" t="str">
        <x:v>PO500069</x:v>
      </x:c>
      <x:c r="B71" t="str">
        <x:v>2026-02-14</x:v>
      </x:c>
      <x:c r="C71" t="str">
        <x:v>V1017</x:v>
      </x:c>
      <x:c r="D71" t="str">
        <x:v>MAT2057</x:v>
      </x:c>
      <x:c r="E71" t="n">
        <x:v>167</x:v>
      </x:c>
      <x:c r="F71" t="n">
        <x:v>167</x:v>
      </x:c>
      <x:c r="G71" s="8" t="n">
        <x:v>2299.3</x:v>
      </x:c>
      <x:c r="H71" s="8" t="n">
        <x:v>383983.1</x:v>
      </x:c>
      <x:c r="I71" t="str">
        <x:v>2026-03-04</x:v>
      </x:c>
      <x:c r="J71" t="str">
        <x:v>2026-03-04</x:v>
      </x:c>
      <x:c r="K71" t="n">
        <x:v>0</x:v>
      </x:c>
      <x:c r="L71" t="str">
        <x:v>Complete</x:v>
      </x:c>
      <x:c r="M71" t="str">
        <x:v>Matched</x:v>
      </x:c>
    </x:row>
    <x:row r="72">
      <x:c r="A72" t="str">
        <x:v>PO500070</x:v>
      </x:c>
      <x:c r="B72" t="str">
        <x:v>2026-03-01</x:v>
      </x:c>
      <x:c r="C72" t="str">
        <x:v>V1033</x:v>
      </x:c>
      <x:c r="D72" t="str">
        <x:v>MAT2050</x:v>
      </x:c>
      <x:c r="E72" t="n">
        <x:v>293</x:v>
      </x:c>
      <x:c r="F72" t="n">
        <x:v>293</x:v>
      </x:c>
      <x:c r="G72" s="8" t="n">
        <x:v>1597.16</x:v>
      </x:c>
      <x:c r="H72" s="8" t="n">
        <x:v>467967.88</x:v>
      </x:c>
      <x:c r="I72" t="str">
        <x:v>2026-03-11</x:v>
      </x:c>
      <x:c r="J72" t="str">
        <x:v>2026-03-16</x:v>
      </x:c>
      <x:c r="K72" t="n">
        <x:v>5</x:v>
      </x:c>
      <x:c r="L72" t="str">
        <x:v>Complete</x:v>
      </x:c>
      <x:c r="M72" t="str">
        <x:v>Pending</x:v>
      </x:c>
    </x:row>
    <x:row r="73">
      <x:c r="A73" t="str">
        <x:v>PO500071</x:v>
      </x:c>
      <x:c r="B73" t="str">
        <x:v>2026-02-15</x:v>
      </x:c>
      <x:c r="C73" t="str">
        <x:v>V1010</x:v>
      </x:c>
      <x:c r="D73" t="str">
        <x:v>MAT2001</x:v>
      </x:c>
      <x:c r="E73" t="n">
        <x:v>420</x:v>
      </x:c>
      <x:c r="F73" t="n">
        <x:v>420</x:v>
      </x:c>
      <x:c r="G73" s="8" t="n">
        <x:v>2366.27</x:v>
      </x:c>
      <x:c r="H73" s="8" t="n">
        <x:v>993833.4</x:v>
      </x:c>
      <x:c r="I73" t="str">
        <x:v>2026-02-22</x:v>
      </x:c>
      <x:c r="J73" t="str">
        <x:v>2026-02-22</x:v>
      </x:c>
      <x:c r="K73" t="n">
        <x:v>0</x:v>
      </x:c>
      <x:c r="L73" t="str">
        <x:v>Complete</x:v>
      </x:c>
      <x:c r="M73" t="str">
        <x:v>Pending</x:v>
      </x:c>
    </x:row>
    <x:row r="74">
      <x:c r="A74" t="str">
        <x:v>PO500072</x:v>
      </x:c>
      <x:c r="B74" t="str">
        <x:v>2026-02-12</x:v>
      </x:c>
      <x:c r="C74" t="str">
        <x:v>V1024</x:v>
      </x:c>
      <x:c r="D74" t="str">
        <x:v>MAT2042</x:v>
      </x:c>
      <x:c r="E74" t="n">
        <x:v>411</x:v>
      </x:c>
      <x:c r="F74" t="n">
        <x:v>411</x:v>
      </x:c>
      <x:c r="G74" s="8" t="n">
        <x:v>385.37</x:v>
      </x:c>
      <x:c r="H74" s="8" t="n">
        <x:v>158387.07</x:v>
      </x:c>
      <x:c r="I74" t="str">
        <x:v>2026-02-26</x:v>
      </x:c>
      <x:c r="J74" t="str">
        <x:v>2026-03-01</x:v>
      </x:c>
      <x:c r="K74" t="n">
        <x:v>3</x:v>
      </x:c>
      <x:c r="L74" t="str">
        <x:v>Complete</x:v>
      </x:c>
      <x:c r="M74" t="str">
        <x:v>Matched</x:v>
      </x:c>
    </x:row>
    <x:row r="75">
      <x:c r="A75" t="str">
        <x:v>PO500073</x:v>
      </x:c>
      <x:c r="B75" t="str">
        <x:v>2026-05-29</x:v>
      </x:c>
      <x:c r="C75" t="str">
        <x:v>V1021</x:v>
      </x:c>
      <x:c r="D75" t="str">
        <x:v>MAT2001</x:v>
      </x:c>
      <x:c r="E75" t="n">
        <x:v>382</x:v>
      </x:c>
      <x:c r="F75" t="n">
        <x:v>382</x:v>
      </x:c>
      <x:c r="G75" s="8" t="n">
        <x:v>2228.24</x:v>
      </x:c>
      <x:c r="H75" s="8" t="n">
        <x:v>851187.68</x:v>
      </x:c>
      <x:c r="I75" t="str">
        <x:v>2026-06-16</x:v>
      </x:c>
      <x:c r="J75" t="str">
        <x:v>2026-06-21</x:v>
      </x:c>
      <x:c r="K75" t="n">
        <x:v>5</x:v>
      </x:c>
      <x:c r="L75" t="str">
        <x:v>Complete</x:v>
      </x:c>
      <x:c r="M75" t="str">
        <x:v>Mismatch</x:v>
      </x:c>
    </x:row>
    <x:row r="76">
      <x:c r="A76" t="str">
        <x:v>PO500074</x:v>
      </x:c>
      <x:c r="B76" t="str">
        <x:v>2026-05-08</x:v>
      </x:c>
      <x:c r="C76" t="str">
        <x:v>V1022</x:v>
      </x:c>
      <x:c r="D76" t="str">
        <x:v>MAT2030</x:v>
      </x:c>
      <x:c r="E76" t="n">
        <x:v>33</x:v>
      </x:c>
      <x:c r="F76" t="n">
        <x:v>33</x:v>
      </x:c>
      <x:c r="G76" s="8" t="n">
        <x:v>518.37</x:v>
      </x:c>
      <x:c r="H76" s="8" t="n">
        <x:v>17106.21</x:v>
      </x:c>
      <x:c r="I76" t="str">
        <x:v>2026-05-24</x:v>
      </x:c>
      <x:c r="J76" t="str">
        <x:v>2026-05-26</x:v>
      </x:c>
      <x:c r="K76" t="n">
        <x:v>2</x:v>
      </x:c>
      <x:c r="L76" t="str">
        <x:v>Complete</x:v>
      </x:c>
      <x:c r="M76" t="str">
        <x:v>Matched</x:v>
      </x:c>
    </x:row>
    <x:row r="77">
      <x:c r="A77" t="str">
        <x:v>PO500075</x:v>
      </x:c>
      <x:c r="B77" t="str">
        <x:v>2026-08-09</x:v>
      </x:c>
      <x:c r="C77" t="str">
        <x:v>V1032</x:v>
      </x:c>
      <x:c r="D77" t="str">
        <x:v>MAT2054</x:v>
      </x:c>
      <x:c r="E77" t="n">
        <x:v>78</x:v>
      </x:c>
      <x:c r="F77" t="n">
        <x:v>78</x:v>
      </x:c>
      <x:c r="G77" s="8" t="n">
        <x:v>136.64</x:v>
      </x:c>
      <x:c r="H77" s="8" t="n">
        <x:v>10657.92</x:v>
      </x:c>
      <x:c r="I77" t="str">
        <x:v>2026-08-13</x:v>
      </x:c>
      <x:c r="J77" t="str">
        <x:v>2026-08-16</x:v>
      </x:c>
      <x:c r="K77" t="n">
        <x:v>3</x:v>
      </x:c>
      <x:c r="L77" t="str">
        <x:v>Complete</x:v>
      </x:c>
      <x:c r="M77" t="str">
        <x:v>Matched</x:v>
      </x:c>
    </x:row>
    <x:row r="78">
      <x:c r="A78" t="str">
        <x:v>PO500076</x:v>
      </x:c>
      <x:c r="B78" t="str">
        <x:v>2026-05-20</x:v>
      </x:c>
      <x:c r="C78" t="str">
        <x:v>V1005</x:v>
      </x:c>
      <x:c r="D78" t="str">
        <x:v>MAT2053</x:v>
      </x:c>
      <x:c r="E78" t="n">
        <x:v>98</x:v>
      </x:c>
      <x:c r="F78" t="n">
        <x:v>98</x:v>
      </x:c>
      <x:c r="G78" s="8" t="n">
        <x:v>1688.83</x:v>
      </x:c>
      <x:c r="H78" s="8" t="n">
        <x:v>165505.34</x:v>
      </x:c>
      <x:c r="I78" t="str">
        <x:v>2026-05-25</x:v>
      </x:c>
      <x:c r="J78" t="str">
        <x:v>2026-05-25</x:v>
      </x:c>
      <x:c r="K78" t="n">
        <x:v>0</x:v>
      </x:c>
      <x:c r="L78" t="str">
        <x:v>Complete</x:v>
      </x:c>
      <x:c r="M78" t="str">
        <x:v>Matched</x:v>
      </x:c>
    </x:row>
    <x:row r="79">
      <x:c r="A79" t="str">
        <x:v>PO500077</x:v>
      </x:c>
      <x:c r="B79" t="str">
        <x:v>2026-08-03</x:v>
      </x:c>
      <x:c r="C79" t="str">
        <x:v>V1020</x:v>
      </x:c>
      <x:c r="D79" t="str">
        <x:v>MAT2045</x:v>
      </x:c>
      <x:c r="E79" t="n">
        <x:v>77</x:v>
      </x:c>
      <x:c r="F79" t="n">
        <x:v>77</x:v>
      </x:c>
      <x:c r="G79" s="8" t="n">
        <x:v>1522.81</x:v>
      </x:c>
      <x:c r="H79" s="8" t="n">
        <x:v>117256.37</x:v>
      </x:c>
      <x:c r="I79" t="str">
        <x:v>2026-08-18</x:v>
      </x:c>
      <x:c r="J79" t="str">
        <x:v>2026-08-23</x:v>
      </x:c>
      <x:c r="K79" t="n">
        <x:v>5</x:v>
      </x:c>
      <x:c r="L79" t="str">
        <x:v>Complete</x:v>
      </x:c>
      <x:c r="M79" t="str">
        <x:v>Matched</x:v>
      </x:c>
    </x:row>
    <x:row r="80">
      <x:c r="A80" t="str">
        <x:v>PO500078</x:v>
      </x:c>
      <x:c r="B80" t="str">
        <x:v>2026-06-25</x:v>
      </x:c>
      <x:c r="C80" t="str">
        <x:v>V1027</x:v>
      </x:c>
      <x:c r="D80" t="str">
        <x:v>MAT2075</x:v>
      </x:c>
      <x:c r="E80" t="n">
        <x:v>460</x:v>
      </x:c>
      <x:c r="F80" t="n">
        <x:v>460</x:v>
      </x:c>
      <x:c r="G80" s="8" t="n">
        <x:v>1058.67</x:v>
      </x:c>
      <x:c r="H80" s="8" t="n">
        <x:v>486988.2</x:v>
      </x:c>
      <x:c r="I80" t="str">
        <x:v>2026-07-13</x:v>
      </x:c>
      <x:c r="J80" t="str">
        <x:v>2026-07-13</x:v>
      </x:c>
      <x:c r="K80" t="n">
        <x:v>0</x:v>
      </x:c>
      <x:c r="L80" t="str">
        <x:v>Complete</x:v>
      </x:c>
      <x:c r="M80" t="str">
        <x:v>Mismatch</x:v>
      </x:c>
    </x:row>
    <x:row r="81">
      <x:c r="A81" t="str">
        <x:v>PO500079</x:v>
      </x:c>
      <x:c r="B81" t="str">
        <x:v>2026-05-09</x:v>
      </x:c>
      <x:c r="C81" t="str">
        <x:v>V1018</x:v>
      </x:c>
      <x:c r="D81" t="str">
        <x:v>MAT2070</x:v>
      </x:c>
      <x:c r="E81" t="n">
        <x:v>171</x:v>
      </x:c>
      <x:c r="F81" t="n">
        <x:v>171</x:v>
      </x:c>
      <x:c r="G81" s="8" t="n">
        <x:v>2408.8</x:v>
      </x:c>
      <x:c r="H81" s="8" t="n">
        <x:v>411904.8</x:v>
      </x:c>
      <x:c r="I81" t="str">
        <x:v>2026-05-15</x:v>
      </x:c>
      <x:c r="J81" t="str">
        <x:v>2026-05-20</x:v>
      </x:c>
      <x:c r="K81" t="n">
        <x:v>5</x:v>
      </x:c>
      <x:c r="L81" t="str">
        <x:v>Complete</x:v>
      </x:c>
      <x:c r="M81" t="str">
        <x:v>Mismatch</x:v>
      </x:c>
    </x:row>
    <x:row r="82">
      <x:c r="A82" t="str">
        <x:v>PO500080</x:v>
      </x:c>
      <x:c r="B82" t="str">
        <x:v>2026-01-16</x:v>
      </x:c>
      <x:c r="C82" t="str">
        <x:v>V1007</x:v>
      </x:c>
      <x:c r="D82" t="str">
        <x:v>MAT2026</x:v>
      </x:c>
      <x:c r="E82" t="n">
        <x:v>326</x:v>
      </x:c>
      <x:c r="F82" t="n">
        <x:v>326</x:v>
      </x:c>
      <x:c r="G82" s="8" t="n">
        <x:v>1353.33</x:v>
      </x:c>
      <x:c r="H82" s="8" t="n">
        <x:v>441185.58</x:v>
      </x:c>
      <x:c r="I82" t="str">
        <x:v>2026-02-03</x:v>
      </x:c>
      <x:c r="J82" t="str">
        <x:v>2026-02-03</x:v>
      </x:c>
      <x:c r="K82" t="n">
        <x:v>0</x:v>
      </x:c>
      <x:c r="L82" t="str">
        <x:v>Complete</x:v>
      </x:c>
      <x:c r="M82" t="str">
        <x:v>Pending</x:v>
      </x:c>
    </x:row>
    <x:row r="83">
      <x:c r="A83" t="str">
        <x:v>PO500081</x:v>
      </x:c>
      <x:c r="B83" t="str">
        <x:v>2026-03-14</x:v>
      </x:c>
      <x:c r="C83" t="str">
        <x:v>V1024</x:v>
      </x:c>
      <x:c r="D83" t="str">
        <x:v>MAT2012</x:v>
      </x:c>
      <x:c r="E83" t="n">
        <x:v>396</x:v>
      </x:c>
      <x:c r="F83" t="n">
        <x:v>396</x:v>
      </x:c>
      <x:c r="G83" s="8" t="n">
        <x:v>581.82</x:v>
      </x:c>
      <x:c r="H83" s="8" t="n">
        <x:v>230400.72</x:v>
      </x:c>
      <x:c r="I83" t="str">
        <x:v>2026-03-31</x:v>
      </x:c>
      <x:c r="J83" t="str">
        <x:v>2026-03-31</x:v>
      </x:c>
      <x:c r="K83" t="n">
        <x:v>0</x:v>
      </x:c>
      <x:c r="L83" t="str">
        <x:v>Complete</x:v>
      </x:c>
      <x:c r="M83" t="str">
        <x:v>Matched</x:v>
      </x:c>
    </x:row>
    <x:row r="84">
      <x:c r="A84" t="str">
        <x:v>PO500082</x:v>
      </x:c>
      <x:c r="B84" t="str">
        <x:v>2026-02-07</x:v>
      </x:c>
      <x:c r="C84" t="str">
        <x:v>V1007</x:v>
      </x:c>
      <x:c r="D84" t="str">
        <x:v>MAT2017</x:v>
      </x:c>
      <x:c r="E84" t="n">
        <x:v>184</x:v>
      </x:c>
      <x:c r="F84" t="n">
        <x:v>184</x:v>
      </x:c>
      <x:c r="G84" s="8" t="n">
        <x:v>1001.02</x:v>
      </x:c>
      <x:c r="H84" s="8" t="n">
        <x:v>184187.68</x:v>
      </x:c>
      <x:c r="I84" t="str">
        <x:v>2026-02-23</x:v>
      </x:c>
      <x:c r="J84" t="str">
        <x:v>2026-02-23</x:v>
      </x:c>
      <x:c r="K84" t="n">
        <x:v>0</x:v>
      </x:c>
      <x:c r="L84" t="str">
        <x:v>Complete</x:v>
      </x:c>
      <x:c r="M84" t="str">
        <x:v>Mismatch</x:v>
      </x:c>
    </x:row>
    <x:row r="85">
      <x:c r="A85" t="str">
        <x:v>PO500083</x:v>
      </x:c>
      <x:c r="B85" t="str">
        <x:v>2026-05-18</x:v>
      </x:c>
      <x:c r="C85" t="str">
        <x:v>V1026</x:v>
      </x:c>
      <x:c r="D85" t="str">
        <x:v>MAT2019</x:v>
      </x:c>
      <x:c r="E85" t="n">
        <x:v>48</x:v>
      </x:c>
      <x:c r="F85" t="n">
        <x:v>48</x:v>
      </x:c>
      <x:c r="G85" s="8" t="n">
        <x:v>1560.1</x:v>
      </x:c>
      <x:c r="H85" s="8" t="n">
        <x:v>74884.8</x:v>
      </x:c>
      <x:c r="I85" t="str">
        <x:v>2026-05-30</x:v>
      </x:c>
      <x:c r="J85" t="str">
        <x:v>2026-05-30</x:v>
      </x:c>
      <x:c r="K85" t="n">
        <x:v>0</x:v>
      </x:c>
      <x:c r="L85" t="str">
        <x:v>Complete</x:v>
      </x:c>
      <x:c r="M85" t="str">
        <x:v>Matched</x:v>
      </x:c>
    </x:row>
    <x:row r="86">
      <x:c r="A86" t="str">
        <x:v>PO500084</x:v>
      </x:c>
      <x:c r="B86" t="str">
        <x:v>2026-05-26</x:v>
      </x:c>
      <x:c r="C86" t="str">
        <x:v>V1002</x:v>
      </x:c>
      <x:c r="D86" t="str">
        <x:v>MAT2023</x:v>
      </x:c>
      <x:c r="E86" t="n">
        <x:v>375</x:v>
      </x:c>
      <x:c r="F86" t="n">
        <x:v>375</x:v>
      </x:c>
      <x:c r="G86" s="8" t="n">
        <x:v>354.66</x:v>
      </x:c>
      <x:c r="H86" s="8" t="n">
        <x:v>132997.5</x:v>
      </x:c>
      <x:c r="I86" t="str">
        <x:v>2026-06-12</x:v>
      </x:c>
      <x:c r="J86" t="str">
        <x:v>2026-06-12</x:v>
      </x:c>
      <x:c r="K86" t="n">
        <x:v>0</x:v>
      </x:c>
      <x:c r="L86" t="str">
        <x:v>Complete</x:v>
      </x:c>
      <x:c r="M86" t="str">
        <x:v>Matched</x:v>
      </x:c>
    </x:row>
    <x:row r="87">
      <x:c r="A87" t="str">
        <x:v>PO500085</x:v>
      </x:c>
      <x:c r="B87" t="str">
        <x:v>2026-08-07</x:v>
      </x:c>
      <x:c r="C87" t="str">
        <x:v>V1018</x:v>
      </x:c>
      <x:c r="D87" t="str">
        <x:v>MAT2040</x:v>
      </x:c>
      <x:c r="E87" t="n">
        <x:v>120</x:v>
      </x:c>
      <x:c r="F87" t="n">
        <x:v>120</x:v>
      </x:c>
      <x:c r="G87" s="8" t="n">
        <x:v>2206.2</x:v>
      </x:c>
      <x:c r="H87" s="8" t="n">
        <x:v>264744</x:v>
      </x:c>
      <x:c r="I87" t="str">
        <x:v>2026-08-23</x:v>
      </x:c>
      <x:c r="J87" t="str">
        <x:v>2026-08-23</x:v>
      </x:c>
      <x:c r="K87" t="n">
        <x:v>0</x:v>
      </x:c>
      <x:c r="L87" t="str">
        <x:v>Complete</x:v>
      </x:c>
      <x:c r="M87" t="str">
        <x:v>Matched</x:v>
      </x:c>
    </x:row>
    <x:row r="88">
      <x:c r="A88" t="str">
        <x:v>PO500086</x:v>
      </x:c>
      <x:c r="B88" t="str">
        <x:v>2026-03-24</x:v>
      </x:c>
      <x:c r="C88" t="str">
        <x:v>V1006</x:v>
      </x:c>
      <x:c r="D88" t="str">
        <x:v>MAT2051</x:v>
      </x:c>
      <x:c r="E88" t="n">
        <x:v>339</x:v>
      </x:c>
      <x:c r="F88" t="n">
        <x:v>339</x:v>
      </x:c>
      <x:c r="G88" s="8" t="n">
        <x:v>440</x:v>
      </x:c>
      <x:c r="H88" s="8" t="n">
        <x:v>149160</x:v>
      </x:c>
      <x:c r="I88" t="str">
        <x:v>2026-04-03</x:v>
      </x:c>
      <x:c r="J88" t="str">
        <x:v>2026-04-03</x:v>
      </x:c>
      <x:c r="K88" t="n">
        <x:v>0</x:v>
      </x:c>
      <x:c r="L88" t="str">
        <x:v>Complete</x:v>
      </x:c>
      <x:c r="M88" t="str">
        <x:v>Mismatch</x:v>
      </x:c>
    </x:row>
    <x:row r="89">
      <x:c r="A89" t="str">
        <x:v>PO500087</x:v>
      </x:c>
      <x:c r="B89" t="str">
        <x:v>2026-02-03</x:v>
      </x:c>
      <x:c r="C89" t="str">
        <x:v>V1011</x:v>
      </x:c>
      <x:c r="D89" t="str">
        <x:v>MAT2030</x:v>
      </x:c>
      <x:c r="E89" t="n">
        <x:v>86</x:v>
      </x:c>
      <x:c r="F89" t="n">
        <x:v>82</x:v>
      </x:c>
      <x:c r="G89" s="8" t="n">
        <x:v>1683.66</x:v>
      </x:c>
      <x:c r="H89" s="8" t="n">
        <x:v>144794.76</x:v>
      </x:c>
      <x:c r="I89" t="str">
        <x:v>2026-02-23</x:v>
      </x:c>
      <x:c r="J89" t="str">
        <x:v>2026-02-23</x:v>
      </x:c>
      <x:c r="K89" t="n">
        <x:v>0</x:v>
      </x:c>
      <x:c r="L89" t="str">
        <x:v>Partial</x:v>
      </x:c>
      <x:c r="M89" t="str">
        <x:v>Matched</x:v>
      </x:c>
    </x:row>
    <x:row r="90">
      <x:c r="A90" t="str">
        <x:v>PO500088</x:v>
      </x:c>
      <x:c r="B90" t="str">
        <x:v>2026-07-22</x:v>
      </x:c>
      <x:c r="C90" t="str">
        <x:v>V1022</x:v>
      </x:c>
      <x:c r="D90" t="str">
        <x:v>MAT2014</x:v>
      </x:c>
      <x:c r="E90" t="n">
        <x:v>391</x:v>
      </x:c>
      <x:c r="F90" t="n">
        <x:v>391</x:v>
      </x:c>
      <x:c r="G90" s="8" t="n">
        <x:v>1423.37</x:v>
      </x:c>
      <x:c r="H90" s="8" t="n">
        <x:v>556537.67</x:v>
      </x:c>
      <x:c r="I90" t="str">
        <x:v>2026-08-08</x:v>
      </x:c>
      <x:c r="J90" t="str">
        <x:v>2026-08-08</x:v>
      </x:c>
      <x:c r="K90" t="n">
        <x:v>0</x:v>
      </x:c>
      <x:c r="L90" t="str">
        <x:v>Complete</x:v>
      </x:c>
      <x:c r="M90" t="str">
        <x:v>Pending</x:v>
      </x:c>
    </x:row>
    <x:row r="91">
      <x:c r="A91" t="str">
        <x:v>PO500089</x:v>
      </x:c>
      <x:c r="B91" t="str">
        <x:v>2026-02-19</x:v>
      </x:c>
      <x:c r="C91" t="str">
        <x:v>V1000</x:v>
      </x:c>
      <x:c r="D91" t="str">
        <x:v>MAT2033</x:v>
      </x:c>
      <x:c r="E91" t="n">
        <x:v>494</x:v>
      </x:c>
      <x:c r="F91" t="n">
        <x:v>494</x:v>
      </x:c>
      <x:c r="G91" s="8" t="n">
        <x:v>708.32</x:v>
      </x:c>
      <x:c r="H91" s="8" t="n">
        <x:v>349910.08</x:v>
      </x:c>
      <x:c r="I91" t="str">
        <x:v>2026-03-05</x:v>
      </x:c>
      <x:c r="J91" t="str">
        <x:v>2026-03-05</x:v>
      </x:c>
      <x:c r="K91" t="n">
        <x:v>0</x:v>
      </x:c>
      <x:c r="L91" t="str">
        <x:v>Complete</x:v>
      </x:c>
      <x:c r="M91" t="str">
        <x:v>Matched</x:v>
      </x:c>
    </x:row>
    <x:row r="92">
      <x:c r="A92" t="str">
        <x:v>PO500090</x:v>
      </x:c>
      <x:c r="B92" t="str">
        <x:v>2026-06-20</x:v>
      </x:c>
      <x:c r="C92" t="str">
        <x:v>V1032</x:v>
      </x:c>
      <x:c r="D92" t="str">
        <x:v>MAT2003</x:v>
      </x:c>
      <x:c r="E92" t="n">
        <x:v>386</x:v>
      </x:c>
      <x:c r="F92" t="n">
        <x:v>386</x:v>
      </x:c>
      <x:c r="G92" s="8" t="n">
        <x:v>1231.22</x:v>
      </x:c>
      <x:c r="H92" s="8" t="n">
        <x:v>475250.92</x:v>
      </x:c>
      <x:c r="I92" t="str">
        <x:v>2026-07-10</x:v>
      </x:c>
      <x:c r="J92" t="str">
        <x:v>2026-07-10</x:v>
      </x:c>
      <x:c r="K92" t="n">
        <x:v>0</x:v>
      </x:c>
      <x:c r="L92" t="str">
        <x:v>Complete</x:v>
      </x:c>
      <x:c r="M92" t="str">
        <x:v>Matched</x:v>
      </x:c>
    </x:row>
    <x:row r="93">
      <x:c r="A93" t="str">
        <x:v>PO500091</x:v>
      </x:c>
      <x:c r="B93" t="str">
        <x:v>2026-08-05</x:v>
      </x:c>
      <x:c r="C93" t="str">
        <x:v>V1002</x:v>
      </x:c>
      <x:c r="D93" t="str">
        <x:v>MAT2014</x:v>
      </x:c>
      <x:c r="E93" t="n">
        <x:v>329</x:v>
      </x:c>
      <x:c r="F93" t="n">
        <x:v>329</x:v>
      </x:c>
      <x:c r="G93" s="8" t="n">
        <x:v>2212.3</x:v>
      </x:c>
      <x:c r="H93" s="8" t="n">
        <x:v>727846.7</x:v>
      </x:c>
      <x:c r="I93" t="str">
        <x:v>2026-08-12</x:v>
      </x:c>
      <x:c r="J93" t="str">
        <x:v>2026-08-12</x:v>
      </x:c>
      <x:c r="K93" t="n">
        <x:v>0</x:v>
      </x:c>
      <x:c r="L93" t="str">
        <x:v>Complete</x:v>
      </x:c>
      <x:c r="M93" t="str">
        <x:v>Pending</x:v>
      </x:c>
    </x:row>
    <x:row r="94">
      <x:c r="A94" t="str">
        <x:v>PO500092</x:v>
      </x:c>
      <x:c r="B94" t="str">
        <x:v>2026-01-16</x:v>
      </x:c>
      <x:c r="C94" t="str">
        <x:v>V1001</x:v>
      </x:c>
      <x:c r="D94" t="str">
        <x:v>MAT2021</x:v>
      </x:c>
      <x:c r="E94" t="n">
        <x:v>500</x:v>
      </x:c>
      <x:c r="F94" t="n">
        <x:v>471</x:v>
      </x:c>
      <x:c r="G94" s="8" t="n">
        <x:v>952.98</x:v>
      </x:c>
      <x:c r="H94" s="8" t="n">
        <x:v>476490</x:v>
      </x:c>
      <x:c r="I94" t="str">
        <x:v>2026-01-28</x:v>
      </x:c>
      <x:c r="J94" t="str">
        <x:v>2026-01-28</x:v>
      </x:c>
      <x:c r="K94" t="n">
        <x:v>0</x:v>
      </x:c>
      <x:c r="L94" t="str">
        <x:v>Partial</x:v>
      </x:c>
      <x:c r="M94" t="str">
        <x:v>Matched</x:v>
      </x:c>
    </x:row>
    <x:row r="95">
      <x:c r="A95" t="str">
        <x:v>PO500093</x:v>
      </x:c>
      <x:c r="B95" t="str">
        <x:v>2026-08-09</x:v>
      </x:c>
      <x:c r="C95" t="str">
        <x:v>V1007</x:v>
      </x:c>
      <x:c r="D95" t="str">
        <x:v>MAT2011</x:v>
      </x:c>
      <x:c r="E95" t="n">
        <x:v>177</x:v>
      </x:c>
      <x:c r="F95" t="n">
        <x:v>174</x:v>
      </x:c>
      <x:c r="G95" s="8" t="n">
        <x:v>1595.67</x:v>
      </x:c>
      <x:c r="H95" s="8" t="n">
        <x:v>282433.59</x:v>
      </x:c>
      <x:c r="I95" t="str">
        <x:v>2026-08-16</x:v>
      </x:c>
      <x:c r="J95" t="str">
        <x:v>2026-08-17</x:v>
      </x:c>
      <x:c r="K95" t="n">
        <x:v>1</x:v>
      </x:c>
      <x:c r="L95" t="str">
        <x:v>Partial</x:v>
      </x:c>
      <x:c r="M95" t="str">
        <x:v>Mismatch</x:v>
      </x:c>
    </x:row>
    <x:row r="96">
      <x:c r="A96" t="str">
        <x:v>PO500094</x:v>
      </x:c>
      <x:c r="B96" t="str">
        <x:v>2026-06-16</x:v>
      </x:c>
      <x:c r="C96" t="str">
        <x:v>V1008</x:v>
      </x:c>
      <x:c r="D96" t="str">
        <x:v>MAT2076</x:v>
      </x:c>
      <x:c r="E96" t="n">
        <x:v>115</x:v>
      </x:c>
      <x:c r="F96" t="n">
        <x:v>115</x:v>
      </x:c>
      <x:c r="G96" s="8" t="n">
        <x:v>1635.22</x:v>
      </x:c>
      <x:c r="H96" s="8" t="n">
        <x:v>188050.3</x:v>
      </x:c>
      <x:c r="I96" t="str">
        <x:v>2026-06-19</x:v>
      </x:c>
      <x:c r="J96" t="str">
        <x:v>2026-06-19</x:v>
      </x:c>
      <x:c r="K96" t="n">
        <x:v>0</x:v>
      </x:c>
      <x:c r="L96" t="str">
        <x:v>Complete</x:v>
      </x:c>
      <x:c r="M96" t="str">
        <x:v>Mismatch</x:v>
      </x:c>
    </x:row>
    <x:row r="97">
      <x:c r="A97" t="str">
        <x:v>PO500095</x:v>
      </x:c>
      <x:c r="B97" t="str">
        <x:v>2026-04-24</x:v>
      </x:c>
      <x:c r="C97" t="str">
        <x:v>V1016</x:v>
      </x:c>
      <x:c r="D97" t="str">
        <x:v>MAT2034</x:v>
      </x:c>
      <x:c r="E97" t="n">
        <x:v>429</x:v>
      </x:c>
      <x:c r="F97" t="n">
        <x:v>388</x:v>
      </x:c>
      <x:c r="G97" s="8" t="n">
        <x:v>2144.18</x:v>
      </x:c>
      <x:c r="H97" s="8" t="n">
        <x:v>919853.22</x:v>
      </x:c>
      <x:c r="I97" t="str">
        <x:v>2026-05-08</x:v>
      </x:c>
      <x:c r="J97" t="str">
        <x:v>2026-05-10</x:v>
      </x:c>
      <x:c r="K97" t="n">
        <x:v>2</x:v>
      </x:c>
      <x:c r="L97" t="str">
        <x:v>Partial</x:v>
      </x:c>
      <x:c r="M97" t="str">
        <x:v>Matched</x:v>
      </x:c>
    </x:row>
    <x:row r="98">
      <x:c r="A98" t="str">
        <x:v>PO500096</x:v>
      </x:c>
      <x:c r="B98" t="str">
        <x:v>2026-02-02</x:v>
      </x:c>
      <x:c r="C98" t="str">
        <x:v>V1002</x:v>
      </x:c>
      <x:c r="D98" t="str">
        <x:v>MAT2010</x:v>
      </x:c>
      <x:c r="E98" t="n">
        <x:v>262</x:v>
      </x:c>
      <x:c r="F98" t="n">
        <x:v>262</x:v>
      </x:c>
      <x:c r="G98" s="8" t="n">
        <x:v>2404.93</x:v>
      </x:c>
      <x:c r="H98" s="8" t="n">
        <x:v>630091.66</x:v>
      </x:c>
      <x:c r="I98" t="str">
        <x:v>2026-02-07</x:v>
      </x:c>
      <x:c r="J98" t="str">
        <x:v>2026-02-08</x:v>
      </x:c>
      <x:c r="K98" t="n">
        <x:v>1</x:v>
      </x:c>
      <x:c r="L98" t="str">
        <x:v>Complete</x:v>
      </x:c>
      <x:c r="M98" t="str">
        <x:v>Pending</x:v>
      </x:c>
    </x:row>
    <x:row r="99">
      <x:c r="A99" t="str">
        <x:v>PO500097</x:v>
      </x:c>
      <x:c r="B99" t="str">
        <x:v>2026-03-27</x:v>
      </x:c>
      <x:c r="C99" t="str">
        <x:v>V1017</x:v>
      </x:c>
      <x:c r="D99" t="str">
        <x:v>MAT2036</x:v>
      </x:c>
      <x:c r="E99" t="n">
        <x:v>210</x:v>
      </x:c>
      <x:c r="F99" t="n">
        <x:v>210</x:v>
      </x:c>
      <x:c r="G99" s="8" t="n">
        <x:v>643.97</x:v>
      </x:c>
      <x:c r="H99" s="8" t="n">
        <x:v>135233.7</x:v>
      </x:c>
      <x:c r="I99" t="str">
        <x:v>2026-04-16</x:v>
      </x:c>
      <x:c r="J99" t="str">
        <x:v>2026-04-16</x:v>
      </x:c>
      <x:c r="K99" t="n">
        <x:v>0</x:v>
      </x:c>
      <x:c r="L99" t="str">
        <x:v>Complete</x:v>
      </x:c>
      <x:c r="M99" t="str">
        <x:v>Matched</x:v>
      </x:c>
    </x:row>
    <x:row r="100">
      <x:c r="A100" t="str">
        <x:v>PO500098</x:v>
      </x:c>
      <x:c r="B100" t="str">
        <x:v>2026-01-20</x:v>
      </x:c>
      <x:c r="C100" t="str">
        <x:v>V1029</x:v>
      </x:c>
      <x:c r="D100" t="str">
        <x:v>MAT2000</x:v>
      </x:c>
      <x:c r="E100" t="n">
        <x:v>191</x:v>
      </x:c>
      <x:c r="F100" t="n">
        <x:v>191</x:v>
      </x:c>
      <x:c r="G100" s="8" t="n">
        <x:v>1548.36</x:v>
      </x:c>
      <x:c r="H100" s="8" t="n">
        <x:v>295736.76</x:v>
      </x:c>
      <x:c r="I100" t="str">
        <x:v>2026-01-29</x:v>
      </x:c>
      <x:c r="J100" t="str">
        <x:v>2026-01-29</x:v>
      </x:c>
      <x:c r="K100" t="n">
        <x:v>0</x:v>
      </x:c>
      <x:c r="L100" t="str">
        <x:v>Complete</x:v>
      </x:c>
      <x:c r="M100" t="str">
        <x:v>Matched</x:v>
      </x:c>
    </x:row>
    <x:row r="101">
      <x:c r="A101" t="str">
        <x:v>PO500099</x:v>
      </x:c>
      <x:c r="B101" t="str">
        <x:v>2026-04-19</x:v>
      </x:c>
      <x:c r="C101" t="str">
        <x:v>V1017</x:v>
      </x:c>
      <x:c r="D101" t="str">
        <x:v>MAT2040</x:v>
      </x:c>
      <x:c r="E101" t="n">
        <x:v>323</x:v>
      </x:c>
      <x:c r="F101" t="n">
        <x:v>323</x:v>
      </x:c>
      <x:c r="G101" s="8" t="n">
        <x:v>282.62</x:v>
      </x:c>
      <x:c r="H101" s="8" t="n">
        <x:v>91286.26</x:v>
      </x:c>
      <x:c r="I101" t="str">
        <x:v>2026-04-27</x:v>
      </x:c>
      <x:c r="J101" t="str">
        <x:v>2026-04-29</x:v>
      </x:c>
      <x:c r="K101" t="n">
        <x:v>2</x:v>
      </x:c>
      <x:c r="L101" t="str">
        <x:v>Complete</x:v>
      </x:c>
      <x:c r="M101" t="str">
        <x:v>Mismatch</x:v>
      </x:c>
    </x:row>
    <x:row r="102">
      <x:c r="A102" t="str">
        <x:v>PO500100</x:v>
      </x:c>
      <x:c r="B102" t="str">
        <x:v>2026-07-27</x:v>
      </x:c>
      <x:c r="C102" t="str">
        <x:v>V1027</x:v>
      </x:c>
      <x:c r="D102" t="str">
        <x:v>MAT2047</x:v>
      </x:c>
      <x:c r="E102" t="n">
        <x:v>134</x:v>
      </x:c>
      <x:c r="F102" t="n">
        <x:v>125</x:v>
      </x:c>
      <x:c r="G102" s="8" t="n">
        <x:v>99.46</x:v>
      </x:c>
      <x:c r="H102" s="8" t="n">
        <x:v>13327.64</x:v>
      </x:c>
      <x:c r="I102" t="str">
        <x:v>2026-07-30</x:v>
      </x:c>
      <x:c r="J102" t="str">
        <x:v>2026-07-30</x:v>
      </x:c>
      <x:c r="K102" t="n">
        <x:v>0</x:v>
      </x:c>
      <x:c r="L102" t="str">
        <x:v>Partial</x:v>
      </x:c>
      <x:c r="M102" t="str">
        <x:v>Pending</x:v>
      </x:c>
    </x:row>
    <x:row r="103">
      <x:c r="A103" t="str">
        <x:v>PO500101</x:v>
      </x:c>
      <x:c r="B103" t="str">
        <x:v>2026-01-03</x:v>
      </x:c>
      <x:c r="C103" t="str">
        <x:v>V1024</x:v>
      </x:c>
      <x:c r="D103" t="str">
        <x:v>MAT2007</x:v>
      </x:c>
      <x:c r="E103" t="n">
        <x:v>149</x:v>
      </x:c>
      <x:c r="F103" t="n">
        <x:v>149</x:v>
      </x:c>
      <x:c r="G103" s="8" t="n">
        <x:v>653.6</x:v>
      </x:c>
      <x:c r="H103" s="8" t="n">
        <x:v>97386.4</x:v>
      </x:c>
      <x:c r="I103" t="str">
        <x:v>2026-01-15</x:v>
      </x:c>
      <x:c r="J103" t="str">
        <x:v>2026-01-15</x:v>
      </x:c>
      <x:c r="K103" t="n">
        <x:v>0</x:v>
      </x:c>
      <x:c r="L103" t="str">
        <x:v>Complete</x:v>
      </x:c>
      <x:c r="M103" t="str">
        <x:v>Matched</x:v>
      </x:c>
    </x:row>
    <x:row r="104">
      <x:c r="A104" t="str">
        <x:v>PO500102</x:v>
      </x:c>
      <x:c r="B104" t="str">
        <x:v>2026-01-01</x:v>
      </x:c>
      <x:c r="C104" t="str">
        <x:v>V1023</x:v>
      </x:c>
      <x:c r="D104" t="str">
        <x:v>MAT2022</x:v>
      </x:c>
      <x:c r="E104" t="n">
        <x:v>66</x:v>
      </x:c>
      <x:c r="F104" t="n">
        <x:v>66</x:v>
      </x:c>
      <x:c r="G104" s="8" t="n">
        <x:v>328.73</x:v>
      </x:c>
      <x:c r="H104" s="8" t="n">
        <x:v>21696.18</x:v>
      </x:c>
      <x:c r="I104" t="str">
        <x:v>2026-01-07</x:v>
      </x:c>
      <x:c r="J104" t="str">
        <x:v>2026-01-07</x:v>
      </x:c>
      <x:c r="K104" t="n">
        <x:v>0</x:v>
      </x:c>
      <x:c r="L104" t="str">
        <x:v>Complete</x:v>
      </x:c>
      <x:c r="M104" t="str">
        <x:v>Matched</x:v>
      </x:c>
    </x:row>
    <x:row r="105">
      <x:c r="A105" t="str">
        <x:v>PO500103</x:v>
      </x:c>
      <x:c r="B105" t="str">
        <x:v>2026-08-13</x:v>
      </x:c>
      <x:c r="C105" t="str">
        <x:v>V1001</x:v>
      </x:c>
      <x:c r="D105" t="str">
        <x:v>MAT2047</x:v>
      </x:c>
      <x:c r="E105" t="n">
        <x:v>210</x:v>
      </x:c>
      <x:c r="F105" t="n">
        <x:v>205</x:v>
      </x:c>
      <x:c r="G105" s="8" t="n">
        <x:v>1407.3</x:v>
      </x:c>
      <x:c r="H105" s="8" t="n">
        <x:v>295533</x:v>
      </x:c>
      <x:c r="I105" t="str">
        <x:v>2026-08-27</x:v>
      </x:c>
      <x:c r="J105" t="str">
        <x:v>2026-08-27</x:v>
      </x:c>
      <x:c r="K105" t="n">
        <x:v>0</x:v>
      </x:c>
      <x:c r="L105" t="str">
        <x:v>Partial</x:v>
      </x:c>
      <x:c r="M105" t="str">
        <x:v>Matched</x:v>
      </x:c>
    </x:row>
    <x:row r="106">
      <x:c r="A106" t="str">
        <x:v>PO500104</x:v>
      </x:c>
      <x:c r="B106" t="str">
        <x:v>2026-06-17</x:v>
      </x:c>
      <x:c r="C106" t="str">
        <x:v>V1022</x:v>
      </x:c>
      <x:c r="D106" t="str">
        <x:v>MAT2049</x:v>
      </x:c>
      <x:c r="E106" t="n">
        <x:v>479</x:v>
      </x:c>
      <x:c r="F106" t="n">
        <x:v>479</x:v>
      </x:c>
      <x:c r="G106" s="8" t="n">
        <x:v>1823.68</x:v>
      </x:c>
      <x:c r="H106" s="8" t="n">
        <x:v>873542.72</x:v>
      </x:c>
      <x:c r="I106" t="str">
        <x:v>2026-06-30</x:v>
      </x:c>
      <x:c r="J106" t="str">
        <x:v>2026-07-03</x:v>
      </x:c>
      <x:c r="K106" t="n">
        <x:v>3</x:v>
      </x:c>
      <x:c r="L106" t="str">
        <x:v>Complete</x:v>
      </x:c>
      <x:c r="M106" t="str">
        <x:v>Matched</x:v>
      </x:c>
    </x:row>
    <x:row r="107">
      <x:c r="A107" t="str">
        <x:v>PO500105</x:v>
      </x:c>
      <x:c r="B107" t="str">
        <x:v>2026-05-25</x:v>
      </x:c>
      <x:c r="C107" t="str">
        <x:v>V1000</x:v>
      </x:c>
      <x:c r="D107" t="str">
        <x:v>MAT2019</x:v>
      </x:c>
      <x:c r="E107" t="n">
        <x:v>308</x:v>
      </x:c>
      <x:c r="F107" t="n">
        <x:v>308</x:v>
      </x:c>
      <x:c r="G107" s="8" t="n">
        <x:v>1719.45</x:v>
      </x:c>
      <x:c r="H107" s="8" t="n">
        <x:v>529590.6</x:v>
      </x:c>
      <x:c r="I107" t="str">
        <x:v>2026-06-14</x:v>
      </x:c>
      <x:c r="J107" t="str">
        <x:v>2026-06-14</x:v>
      </x:c>
      <x:c r="K107" t="n">
        <x:v>0</x:v>
      </x:c>
      <x:c r="L107" t="str">
        <x:v>Complete</x:v>
      </x:c>
      <x:c r="M107" t="str">
        <x:v>Matched</x:v>
      </x:c>
    </x:row>
    <x:row r="108">
      <x:c r="A108" t="str">
        <x:v>PO500106</x:v>
      </x:c>
      <x:c r="B108" t="str">
        <x:v>2026-06-20</x:v>
      </x:c>
      <x:c r="C108" t="str">
        <x:v>V1002</x:v>
      </x:c>
      <x:c r="D108" t="str">
        <x:v>MAT2059</x:v>
      </x:c>
      <x:c r="E108" t="n">
        <x:v>427</x:v>
      </x:c>
      <x:c r="F108" t="n">
        <x:v>427</x:v>
      </x:c>
      <x:c r="G108" s="8" t="n">
        <x:v>264.34</x:v>
      </x:c>
      <x:c r="H108" s="8" t="n">
        <x:v>112873.18</x:v>
      </x:c>
      <x:c r="I108" t="str">
        <x:v>2026-06-30</x:v>
      </x:c>
      <x:c r="J108" t="str">
        <x:v>2026-06-30</x:v>
      </x:c>
      <x:c r="K108" t="n">
        <x:v>0</x:v>
      </x:c>
      <x:c r="L108" t="str">
        <x:v>Complete</x:v>
      </x:c>
      <x:c r="M108" t="str">
        <x:v>Matched</x:v>
      </x:c>
    </x:row>
    <x:row r="109">
      <x:c r="A109" t="str">
        <x:v>PO500107</x:v>
      </x:c>
      <x:c r="B109" t="str">
        <x:v>2026-01-23</x:v>
      </x:c>
      <x:c r="C109" t="str">
        <x:v>V1029</x:v>
      </x:c>
      <x:c r="D109" t="str">
        <x:v>MAT2058</x:v>
      </x:c>
      <x:c r="E109" t="n">
        <x:v>59</x:v>
      </x:c>
      <x:c r="F109" t="n">
        <x:v>59</x:v>
      </x:c>
      <x:c r="G109" s="8" t="n">
        <x:v>689.55</x:v>
      </x:c>
      <x:c r="H109" s="8" t="n">
        <x:v>40683.45</x:v>
      </x:c>
      <x:c r="I109" t="str">
        <x:v>2026-02-11</x:v>
      </x:c>
      <x:c r="J109" t="str">
        <x:v>2026-02-11</x:v>
      </x:c>
      <x:c r="K109" t="n">
        <x:v>0</x:v>
      </x:c>
      <x:c r="L109" t="str">
        <x:v>Complete</x:v>
      </x:c>
      <x:c r="M109" t="str">
        <x:v>Matched</x:v>
      </x:c>
    </x:row>
    <x:row r="110">
      <x:c r="A110" t="str">
        <x:v>PO500108</x:v>
      </x:c>
      <x:c r="B110" t="str">
        <x:v>2026-06-05</x:v>
      </x:c>
      <x:c r="C110" t="str">
        <x:v>V1034</x:v>
      </x:c>
      <x:c r="D110" t="str">
        <x:v>MAT2001</x:v>
      </x:c>
      <x:c r="E110" t="n">
        <x:v>410</x:v>
      </x:c>
      <x:c r="F110" t="n">
        <x:v>410</x:v>
      </x:c>
      <x:c r="G110" s="8" t="n">
        <x:v>792.13</x:v>
      </x:c>
      <x:c r="H110" s="8" t="n">
        <x:v>324773.3</x:v>
      </x:c>
      <x:c r="I110" t="str">
        <x:v>2026-06-19</x:v>
      </x:c>
      <x:c r="J110" t="str">
        <x:v>2026-06-19</x:v>
      </x:c>
      <x:c r="K110" t="n">
        <x:v>0</x:v>
      </x:c>
      <x:c r="L110" t="str">
        <x:v>Complete</x:v>
      </x:c>
      <x:c r="M110" t="str">
        <x:v>Matched</x:v>
      </x:c>
    </x:row>
    <x:row r="111">
      <x:c r="A111" t="str">
        <x:v>PO500109</x:v>
      </x:c>
      <x:c r="B111" t="str">
        <x:v>2026-02-04</x:v>
      </x:c>
      <x:c r="C111" t="str">
        <x:v>V1019</x:v>
      </x:c>
      <x:c r="D111" t="str">
        <x:v>MAT2035</x:v>
      </x:c>
      <x:c r="E111" t="n">
        <x:v>486</x:v>
      </x:c>
      <x:c r="F111" t="n">
        <x:v>486</x:v>
      </x:c>
      <x:c r="G111" s="8" t="n">
        <x:v>1828.43</x:v>
      </x:c>
      <x:c r="H111" s="8" t="n">
        <x:v>888616.98</x:v>
      </x:c>
      <x:c r="I111" t="str">
        <x:v>2026-02-13</x:v>
      </x:c>
      <x:c r="J111" t="str">
        <x:v>2026-02-13</x:v>
      </x:c>
      <x:c r="K111" t="n">
        <x:v>0</x:v>
      </x:c>
      <x:c r="L111" t="str">
        <x:v>Complete</x:v>
      </x:c>
      <x:c r="M111" t="str">
        <x:v>Pending</x:v>
      </x:c>
    </x:row>
    <x:row r="112">
      <x:c r="A112" t="str">
        <x:v>PO500110</x:v>
      </x:c>
      <x:c r="B112" t="str">
        <x:v>2026-02-15</x:v>
      </x:c>
      <x:c r="C112" t="str">
        <x:v>V1014</x:v>
      </x:c>
      <x:c r="D112" t="str">
        <x:v>MAT2026</x:v>
      </x:c>
      <x:c r="E112" t="n">
        <x:v>347</x:v>
      </x:c>
      <x:c r="F112" t="n">
        <x:v>325</x:v>
      </x:c>
      <x:c r="G112" s="8" t="n">
        <x:v>1962.12</x:v>
      </x:c>
      <x:c r="H112" s="8" t="n">
        <x:v>680855.64</x:v>
      </x:c>
      <x:c r="I112" t="str">
        <x:v>2026-02-21</x:v>
      </x:c>
      <x:c r="J112" t="str">
        <x:v>2026-02-21</x:v>
      </x:c>
      <x:c r="K112" t="n">
        <x:v>0</x:v>
      </x:c>
      <x:c r="L112" t="str">
        <x:v>Partial</x:v>
      </x:c>
      <x:c r="M112" t="str">
        <x:v>Pending</x:v>
      </x:c>
    </x:row>
    <x:row r="113">
      <x:c r="A113" t="str">
        <x:v>PO500111</x:v>
      </x:c>
      <x:c r="B113" t="str">
        <x:v>2026-05-09</x:v>
      </x:c>
      <x:c r="C113" t="str">
        <x:v>V1020</x:v>
      </x:c>
      <x:c r="D113" t="str">
        <x:v>MAT2037</x:v>
      </x:c>
      <x:c r="E113" t="n">
        <x:v>201</x:v>
      </x:c>
      <x:c r="F113" t="n">
        <x:v>201</x:v>
      </x:c>
      <x:c r="G113" s="8" t="n">
        <x:v>1489.59</x:v>
      </x:c>
      <x:c r="H113" s="8" t="n">
        <x:v>299407.59</x:v>
      </x:c>
      <x:c r="I113" t="str">
        <x:v>2026-05-25</x:v>
      </x:c>
      <x:c r="J113" t="str">
        <x:v>2026-05-25</x:v>
      </x:c>
      <x:c r="K113" t="n">
        <x:v>0</x:v>
      </x:c>
      <x:c r="L113" t="str">
        <x:v>Complete</x:v>
      </x:c>
      <x:c r="M113" t="str">
        <x:v>Mismatch</x:v>
      </x:c>
    </x:row>
    <x:row r="114">
      <x:c r="A114" t="str">
        <x:v>PO500112</x:v>
      </x:c>
      <x:c r="B114" t="str">
        <x:v>2026-04-02</x:v>
      </x:c>
      <x:c r="C114" t="str">
        <x:v>V1033</x:v>
      </x:c>
      <x:c r="D114" t="str">
        <x:v>MAT2004</x:v>
      </x:c>
      <x:c r="E114" t="n">
        <x:v>138</x:v>
      </x:c>
      <x:c r="F114" t="n">
        <x:v>138</x:v>
      </x:c>
      <x:c r="G114" s="8" t="n">
        <x:v>2326.83</x:v>
      </x:c>
      <x:c r="H114" s="8" t="n">
        <x:v>321102.54</x:v>
      </x:c>
      <x:c r="I114" t="str">
        <x:v>2026-04-14</x:v>
      </x:c>
      <x:c r="J114" t="str">
        <x:v>2026-04-17</x:v>
      </x:c>
      <x:c r="K114" t="n">
        <x:v>3</x:v>
      </x:c>
      <x:c r="L114" t="str">
        <x:v>Complete</x:v>
      </x:c>
      <x:c r="M114" t="str">
        <x:v>Matched</x:v>
      </x:c>
    </x:row>
    <x:row r="115">
      <x:c r="A115" t="str">
        <x:v>PO500113</x:v>
      </x:c>
      <x:c r="B115" t="str">
        <x:v>2026-08-20</x:v>
      </x:c>
      <x:c r="C115" t="str">
        <x:v>V1000</x:v>
      </x:c>
      <x:c r="D115" t="str">
        <x:v>MAT2016</x:v>
      </x:c>
      <x:c r="E115" t="n">
        <x:v>147</x:v>
      </x:c>
      <x:c r="F115" t="n">
        <x:v>147</x:v>
      </x:c>
      <x:c r="G115" s="8" t="n">
        <x:v>524.03</x:v>
      </x:c>
      <x:c r="H115" s="8" t="n">
        <x:v>77032.41</x:v>
      </x:c>
      <x:c r="I115" t="str">
        <x:v>2026-08-27</x:v>
      </x:c>
      <x:c r="J115" t="str">
        <x:v>2026-08-27</x:v>
      </x:c>
      <x:c r="K115" t="n">
        <x:v>0</x:v>
      </x:c>
      <x:c r="L115" t="str">
        <x:v>Complete</x:v>
      </x:c>
      <x:c r="M115" t="str">
        <x:v>Pending</x:v>
      </x:c>
    </x:row>
    <x:row r="116">
      <x:c r="A116" t="str">
        <x:v>PO500114</x:v>
      </x:c>
      <x:c r="B116" t="str">
        <x:v>2026-01-16</x:v>
      </x:c>
      <x:c r="C116" t="str">
        <x:v>V1011</x:v>
      </x:c>
      <x:c r="D116" t="str">
        <x:v>MAT2050</x:v>
      </x:c>
      <x:c r="E116" t="n">
        <x:v>139</x:v>
      </x:c>
      <x:c r="F116" t="n">
        <x:v>139</x:v>
      </x:c>
      <x:c r="G116" s="8" t="n">
        <x:v>1365.41</x:v>
      </x:c>
      <x:c r="H116" s="8" t="n">
        <x:v>189791.99</x:v>
      </x:c>
      <x:c r="I116" t="str">
        <x:v>2026-02-01</x:v>
      </x:c>
      <x:c r="J116" t="str">
        <x:v>2026-02-01</x:v>
      </x:c>
      <x:c r="K116" t="n">
        <x:v>0</x:v>
      </x:c>
      <x:c r="L116" t="str">
        <x:v>Complete</x:v>
      </x:c>
      <x:c r="M116" t="str">
        <x:v>Matched</x:v>
      </x:c>
    </x:row>
    <x:row r="117">
      <x:c r="A117" t="str">
        <x:v>PO500115</x:v>
      </x:c>
      <x:c r="B117" t="str">
        <x:v>2026-06-29</x:v>
      </x:c>
      <x:c r="C117" t="str">
        <x:v>V1010</x:v>
      </x:c>
      <x:c r="D117" t="str">
        <x:v>MAT2010</x:v>
      </x:c>
      <x:c r="E117" t="n">
        <x:v>220</x:v>
      </x:c>
      <x:c r="F117" t="n">
        <x:v>220</x:v>
      </x:c>
      <x:c r="G117" s="8" t="n">
        <x:v>1692.97</x:v>
      </x:c>
      <x:c r="H117" s="8" t="n">
        <x:v>372453.4</x:v>
      </x:c>
      <x:c r="I117" t="str">
        <x:v>2026-07-09</x:v>
      </x:c>
      <x:c r="J117" t="str">
        <x:v>2026-07-10</x:v>
      </x:c>
      <x:c r="K117" t="n">
        <x:v>1</x:v>
      </x:c>
      <x:c r="L117" t="str">
        <x:v>Complete</x:v>
      </x:c>
      <x:c r="M117" t="str">
        <x:v>Mismatch</x:v>
      </x:c>
    </x:row>
    <x:row r="118">
      <x:c r="A118" t="str">
        <x:v>PO500116</x:v>
      </x:c>
      <x:c r="B118" t="str">
        <x:v>2026-02-15</x:v>
      </x:c>
      <x:c r="C118" t="str">
        <x:v>V1016</x:v>
      </x:c>
      <x:c r="D118" t="str">
        <x:v>MAT2075</x:v>
      </x:c>
      <x:c r="E118" t="n">
        <x:v>184</x:v>
      </x:c>
      <x:c r="F118" t="n">
        <x:v>171</x:v>
      </x:c>
      <x:c r="G118" s="8" t="n">
        <x:v>1056.06</x:v>
      </x:c>
      <x:c r="H118" s="8" t="n">
        <x:v>194315.04</x:v>
      </x:c>
      <x:c r="I118" t="str">
        <x:v>2026-03-06</x:v>
      </x:c>
      <x:c r="J118" t="str">
        <x:v>2026-03-06</x:v>
      </x:c>
      <x:c r="K118" t="n">
        <x:v>0</x:v>
      </x:c>
      <x:c r="L118" t="str">
        <x:v>Partial</x:v>
      </x:c>
      <x:c r="M118" t="str">
        <x:v>Matched</x:v>
      </x:c>
    </x:row>
    <x:row r="119">
      <x:c r="A119" t="str">
        <x:v>PO500117</x:v>
      </x:c>
      <x:c r="B119" t="str">
        <x:v>2026-01-31</x:v>
      </x:c>
      <x:c r="C119" t="str">
        <x:v>V1009</x:v>
      </x:c>
      <x:c r="D119" t="str">
        <x:v>MAT2071</x:v>
      </x:c>
      <x:c r="E119" t="n">
        <x:v>200</x:v>
      </x:c>
      <x:c r="F119" t="n">
        <x:v>200</x:v>
      </x:c>
      <x:c r="G119" s="8" t="n">
        <x:v>2431.46</x:v>
      </x:c>
      <x:c r="H119" s="8" t="n">
        <x:v>486292</x:v>
      </x:c>
      <x:c r="I119" t="str">
        <x:v>2026-02-15</x:v>
      </x:c>
      <x:c r="J119" t="str">
        <x:v>2026-02-20</x:v>
      </x:c>
      <x:c r="K119" t="n">
        <x:v>5</x:v>
      </x:c>
      <x:c r="L119" t="str">
        <x:v>Complete</x:v>
      </x:c>
      <x:c r="M119" t="str">
        <x:v>Matched</x:v>
      </x:c>
    </x:row>
    <x:row r="120">
      <x:c r="A120" t="str">
        <x:v>PO500118</x:v>
      </x:c>
      <x:c r="B120" t="str">
        <x:v>2026-06-23</x:v>
      </x:c>
      <x:c r="C120" t="str">
        <x:v>V1027</x:v>
      </x:c>
      <x:c r="D120" t="str">
        <x:v>MAT2009</x:v>
      </x:c>
      <x:c r="E120" t="n">
        <x:v>312</x:v>
      </x:c>
      <x:c r="F120" t="n">
        <x:v>312</x:v>
      </x:c>
      <x:c r="G120" s="8" t="n">
        <x:v>249.94</x:v>
      </x:c>
      <x:c r="H120" s="8" t="n">
        <x:v>77981.28</x:v>
      </x:c>
      <x:c r="I120" t="str">
        <x:v>2026-06-29</x:v>
      </x:c>
      <x:c r="J120" t="str">
        <x:v>2026-06-29</x:v>
      </x:c>
      <x:c r="K120" t="n">
        <x:v>0</x:v>
      </x:c>
      <x:c r="L120" t="str">
        <x:v>Complete</x:v>
      </x:c>
      <x:c r="M120" t="str">
        <x:v>Pending</x:v>
      </x:c>
    </x:row>
    <x:row r="121">
      <x:c r="A121" t="str">
        <x:v>PO500119</x:v>
      </x:c>
      <x:c r="B121" t="str">
        <x:v>2026-02-14</x:v>
      </x:c>
      <x:c r="C121" t="str">
        <x:v>V1025</x:v>
      </x:c>
      <x:c r="D121" t="str">
        <x:v>MAT2042</x:v>
      </x:c>
      <x:c r="E121" t="n">
        <x:v>28</x:v>
      </x:c>
      <x:c r="F121" t="n">
        <x:v>28</x:v>
      </x:c>
      <x:c r="G121" s="8" t="n">
        <x:v>133.27</x:v>
      </x:c>
      <x:c r="H121" s="8" t="n">
        <x:v>3731.56</x:v>
      </x:c>
      <x:c r="I121" t="str">
        <x:v>2026-03-05</x:v>
      </x:c>
      <x:c r="J121" t="str">
        <x:v>2026-03-06</x:v>
      </x:c>
      <x:c r="K121" t="n">
        <x:v>1</x:v>
      </x:c>
      <x:c r="L121" t="str">
        <x:v>Complete</x:v>
      </x:c>
      <x:c r="M121" t="str">
        <x:v>Matched</x:v>
      </x:c>
    </x:row>
    <x:row r="122">
      <x:c r="A122" t="str">
        <x:v>PO500120</x:v>
      </x:c>
      <x:c r="B122" t="str">
        <x:v>2026-08-13</x:v>
      </x:c>
      <x:c r="C122" t="str">
        <x:v>V1026</x:v>
      </x:c>
      <x:c r="D122" t="str">
        <x:v>MAT2037</x:v>
      </x:c>
      <x:c r="E122" t="n">
        <x:v>430</x:v>
      </x:c>
      <x:c r="F122" t="n">
        <x:v>430</x:v>
      </x:c>
      <x:c r="G122" s="8" t="n">
        <x:v>1708.84</x:v>
      </x:c>
      <x:c r="H122" s="8" t="n">
        <x:v>734801.2</x:v>
      </x:c>
      <x:c r="I122" t="str">
        <x:v>2026-08-30</x:v>
      </x:c>
      <x:c r="J122" t="str">
        <x:v>2026-08-30</x:v>
      </x:c>
      <x:c r="K122" t="n">
        <x:v>0</x:v>
      </x:c>
      <x:c r="L122" t="str">
        <x:v>Complete</x:v>
      </x:c>
      <x:c r="M122" t="str">
        <x:v>Matched</x:v>
      </x:c>
    </x:row>
    <x:row r="123">
      <x:c r="A123" t="str">
        <x:v>PO500121</x:v>
      </x:c>
      <x:c r="B123" t="str">
        <x:v>2026-07-04</x:v>
      </x:c>
      <x:c r="C123" t="str">
        <x:v>V1027</x:v>
      </x:c>
      <x:c r="D123" t="str">
        <x:v>MAT2020</x:v>
      </x:c>
      <x:c r="E123" t="n">
        <x:v>131</x:v>
      </x:c>
      <x:c r="F123" t="n">
        <x:v>131</x:v>
      </x:c>
      <x:c r="G123" s="8" t="n">
        <x:v>427.19</x:v>
      </x:c>
      <x:c r="H123" s="8" t="n">
        <x:v>55961.89</x:v>
      </x:c>
      <x:c r="I123" t="str">
        <x:v>2026-07-16</x:v>
      </x:c>
      <x:c r="J123" t="str">
        <x:v>2026-07-16</x:v>
      </x:c>
      <x:c r="K123" t="n">
        <x:v>0</x:v>
      </x:c>
      <x:c r="L123" t="str">
        <x:v>Complete</x:v>
      </x:c>
      <x:c r="M123" t="str">
        <x:v>Matched</x:v>
      </x:c>
    </x:row>
    <x:row r="124">
      <x:c r="A124" t="str">
        <x:v>PO500122</x:v>
      </x:c>
      <x:c r="B124" t="str">
        <x:v>2026-06-14</x:v>
      </x:c>
      <x:c r="C124" t="str">
        <x:v>V1023</x:v>
      </x:c>
      <x:c r="D124" t="str">
        <x:v>MAT2009</x:v>
      </x:c>
      <x:c r="E124" t="n">
        <x:v>66</x:v>
      </x:c>
      <x:c r="F124" t="n">
        <x:v>66</x:v>
      </x:c>
      <x:c r="G124" s="8" t="n">
        <x:v>2073.41</x:v>
      </x:c>
      <x:c r="H124" s="8" t="n">
        <x:v>136845.06</x:v>
      </x:c>
      <x:c r="I124" t="str">
        <x:v>2026-07-01</x:v>
      </x:c>
      <x:c r="J124" t="str">
        <x:v>2026-07-01</x:v>
      </x:c>
      <x:c r="K124" t="n">
        <x:v>0</x:v>
      </x:c>
      <x:c r="L124" t="str">
        <x:v>Complete</x:v>
      </x:c>
      <x:c r="M124" t="str">
        <x:v>Matched</x:v>
      </x:c>
    </x:row>
    <x:row r="125">
      <x:c r="A125" t="str">
        <x:v>PO500123</x:v>
      </x:c>
      <x:c r="B125" t="str">
        <x:v>2026-02-06</x:v>
      </x:c>
      <x:c r="C125" t="str">
        <x:v>V1002</x:v>
      </x:c>
      <x:c r="D125" t="str">
        <x:v>MAT2072</x:v>
      </x:c>
      <x:c r="E125" t="n">
        <x:v>177</x:v>
      </x:c>
      <x:c r="F125" t="n">
        <x:v>177</x:v>
      </x:c>
      <x:c r="G125" s="8" t="n">
        <x:v>1484.89</x:v>
      </x:c>
      <x:c r="H125" s="8" t="n">
        <x:v>262825.53</x:v>
      </x:c>
      <x:c r="I125" t="str">
        <x:v>2026-02-23</x:v>
      </x:c>
      <x:c r="J125" t="str">
        <x:v>2026-02-28</x:v>
      </x:c>
      <x:c r="K125" t="n">
        <x:v>5</x:v>
      </x:c>
      <x:c r="L125" t="str">
        <x:v>Complete</x:v>
      </x:c>
      <x:c r="M125" t="str">
        <x:v>Matched</x:v>
      </x:c>
    </x:row>
    <x:row r="126">
      <x:c r="A126" t="str">
        <x:v>PO500124</x:v>
      </x:c>
      <x:c r="B126" t="str">
        <x:v>2026-02-04</x:v>
      </x:c>
      <x:c r="C126" t="str">
        <x:v>V1034</x:v>
      </x:c>
      <x:c r="D126" t="str">
        <x:v>MAT2036</x:v>
      </x:c>
      <x:c r="E126" t="n">
        <x:v>39</x:v>
      </x:c>
      <x:c r="F126" t="n">
        <x:v>38</x:v>
      </x:c>
      <x:c r="G126" s="8" t="n">
        <x:v>1838.58</x:v>
      </x:c>
      <x:c r="H126" s="8" t="n">
        <x:v>71704.62</x:v>
      </x:c>
      <x:c r="I126" t="str">
        <x:v>2026-02-13</x:v>
      </x:c>
      <x:c r="J126" t="str">
        <x:v>2026-02-13</x:v>
      </x:c>
      <x:c r="K126" t="n">
        <x:v>0</x:v>
      </x:c>
      <x:c r="L126" t="str">
        <x:v>Partial</x:v>
      </x:c>
      <x:c r="M126" t="str">
        <x:v>Matched</x:v>
      </x:c>
    </x:row>
    <x:row r="127">
      <x:c r="A127" t="str">
        <x:v>PO500125</x:v>
      </x:c>
      <x:c r="B127" t="str">
        <x:v>2026-03-17</x:v>
      </x:c>
      <x:c r="C127" t="str">
        <x:v>V1012</x:v>
      </x:c>
      <x:c r="D127" t="str">
        <x:v>MAT2059</x:v>
      </x:c>
      <x:c r="E127" t="n">
        <x:v>440</x:v>
      </x:c>
      <x:c r="F127" t="n">
        <x:v>410</x:v>
      </x:c>
      <x:c r="G127" s="8" t="n">
        <x:v>425.27</x:v>
      </x:c>
      <x:c r="H127" s="8" t="n">
        <x:v>187118.8</x:v>
      </x:c>
      <x:c r="I127" t="str">
        <x:v>2026-04-01</x:v>
      </x:c>
      <x:c r="J127" t="str">
        <x:v>2026-04-03</x:v>
      </x:c>
      <x:c r="K127" t="n">
        <x:v>2</x:v>
      </x:c>
      <x:c r="L127" t="str">
        <x:v>Partial</x:v>
      </x:c>
      <x:c r="M127" t="str">
        <x:v>Matched</x:v>
      </x:c>
    </x:row>
    <x:row r="128">
      <x:c r="A128" t="str">
        <x:v>PO500126</x:v>
      </x:c>
      <x:c r="B128" t="str">
        <x:v>2026-04-05</x:v>
      </x:c>
      <x:c r="C128" t="str">
        <x:v>V1019</x:v>
      </x:c>
      <x:c r="D128" t="str">
        <x:v>MAT2015</x:v>
      </x:c>
      <x:c r="E128" t="n">
        <x:v>155</x:v>
      </x:c>
      <x:c r="F128" t="n">
        <x:v>143</x:v>
      </x:c>
      <x:c r="G128" s="8" t="n">
        <x:v>2207.58</x:v>
      </x:c>
      <x:c r="H128" s="8" t="n">
        <x:v>342174.9</x:v>
      </x:c>
      <x:c r="I128" t="str">
        <x:v>2026-04-12</x:v>
      </x:c>
      <x:c r="J128" t="str">
        <x:v>2026-04-12</x:v>
      </x:c>
      <x:c r="K128" t="n">
        <x:v>0</x:v>
      </x:c>
      <x:c r="L128" t="str">
        <x:v>Partial</x:v>
      </x:c>
      <x:c r="M128" t="str">
        <x:v>Matched</x:v>
      </x:c>
    </x:row>
    <x:row r="129">
      <x:c r="A129" t="str">
        <x:v>PO500127</x:v>
      </x:c>
      <x:c r="B129" t="str">
        <x:v>2026-04-12</x:v>
      </x:c>
      <x:c r="C129" t="str">
        <x:v>V1018</x:v>
      </x:c>
      <x:c r="D129" t="str">
        <x:v>MAT2064</x:v>
      </x:c>
      <x:c r="E129" t="n">
        <x:v>195</x:v>
      </x:c>
      <x:c r="F129" t="n">
        <x:v>195</x:v>
      </x:c>
      <x:c r="G129" s="8" t="n">
        <x:v>745.58</x:v>
      </x:c>
      <x:c r="H129" s="8" t="n">
        <x:v>145388.1</x:v>
      </x:c>
      <x:c r="I129" t="str">
        <x:v>2026-04-27</x:v>
      </x:c>
      <x:c r="J129" t="str">
        <x:v>2026-05-05</x:v>
      </x:c>
      <x:c r="K129" t="n">
        <x:v>8</x:v>
      </x:c>
      <x:c r="L129" t="str">
        <x:v>Complete</x:v>
      </x:c>
      <x:c r="M129" t="str">
        <x:v>Matched</x:v>
      </x:c>
    </x:row>
    <x:row r="130">
      <x:c r="A130" t="str">
        <x:v>PO500128</x:v>
      </x:c>
      <x:c r="B130" t="str">
        <x:v>2026-03-31</x:v>
      </x:c>
      <x:c r="C130" t="str">
        <x:v>V1015</x:v>
      </x:c>
      <x:c r="D130" t="str">
        <x:v>MAT2004</x:v>
      </x:c>
      <x:c r="E130" t="n">
        <x:v>136</x:v>
      </x:c>
      <x:c r="F130" t="n">
        <x:v>136</x:v>
      </x:c>
      <x:c r="G130" s="8" t="n">
        <x:v>257.64</x:v>
      </x:c>
      <x:c r="H130" s="8" t="n">
        <x:v>35039.04</x:v>
      </x:c>
      <x:c r="I130" t="str">
        <x:v>2026-04-06</x:v>
      </x:c>
      <x:c r="J130" t="str">
        <x:v>2026-04-06</x:v>
      </x:c>
      <x:c r="K130" t="n">
        <x:v>0</x:v>
      </x:c>
      <x:c r="L130" t="str">
        <x:v>Complete</x:v>
      </x:c>
      <x:c r="M130" t="str">
        <x:v>Matched</x:v>
      </x:c>
    </x:row>
    <x:row r="131">
      <x:c r="A131" t="str">
        <x:v>PO500129</x:v>
      </x:c>
      <x:c r="B131" t="str">
        <x:v>2026-04-10</x:v>
      </x:c>
      <x:c r="C131" t="str">
        <x:v>V1032</x:v>
      </x:c>
      <x:c r="D131" t="str">
        <x:v>MAT2062</x:v>
      </x:c>
      <x:c r="E131" t="n">
        <x:v>155</x:v>
      </x:c>
      <x:c r="F131" t="n">
        <x:v>155</x:v>
      </x:c>
      <x:c r="G131" s="8" t="n">
        <x:v>1564.29</x:v>
      </x:c>
      <x:c r="H131" s="8" t="n">
        <x:v>242464.95</x:v>
      </x:c>
      <x:c r="I131" t="str">
        <x:v>2026-04-28</x:v>
      </x:c>
      <x:c r="J131" t="str">
        <x:v>2026-05-06</x:v>
      </x:c>
      <x:c r="K131" t="n">
        <x:v>8</x:v>
      </x:c>
      <x:c r="L131" t="str">
        <x:v>Complete</x:v>
      </x:c>
      <x:c r="M131" t="str">
        <x:v>Matched</x:v>
      </x:c>
    </x:row>
    <x:row r="132">
      <x:c r="A132" t="str">
        <x:v>PO500130</x:v>
      </x:c>
      <x:c r="B132" t="str">
        <x:v>2026-06-03</x:v>
      </x:c>
      <x:c r="C132" t="str">
        <x:v>V1032</x:v>
      </x:c>
      <x:c r="D132" t="str">
        <x:v>MAT2056</x:v>
      </x:c>
      <x:c r="E132" t="n">
        <x:v>478</x:v>
      </x:c>
      <x:c r="F132" t="n">
        <x:v>478</x:v>
      </x:c>
      <x:c r="G132" s="8" t="n">
        <x:v>2001.88</x:v>
      </x:c>
      <x:c r="H132" s="8" t="n">
        <x:v>956898.64</x:v>
      </x:c>
      <x:c r="I132" t="str">
        <x:v>2026-06-09</x:v>
      </x:c>
      <x:c r="J132" t="str">
        <x:v>2026-06-11</x:v>
      </x:c>
      <x:c r="K132" t="n">
        <x:v>2</x:v>
      </x:c>
      <x:c r="L132" t="str">
        <x:v>Complete</x:v>
      </x:c>
      <x:c r="M132" t="str">
        <x:v>Pending</x:v>
      </x:c>
    </x:row>
    <x:row r="133">
      <x:c r="A133" t="str">
        <x:v>PO500131</x:v>
      </x:c>
      <x:c r="B133" t="str">
        <x:v>2026-05-29</x:v>
      </x:c>
      <x:c r="C133" t="str">
        <x:v>V1018</x:v>
      </x:c>
      <x:c r="D133" t="str">
        <x:v>MAT2002</x:v>
      </x:c>
      <x:c r="E133" t="n">
        <x:v>326</x:v>
      </x:c>
      <x:c r="F133" t="n">
        <x:v>323</x:v>
      </x:c>
      <x:c r="G133" s="8" t="n">
        <x:v>423.13</x:v>
      </x:c>
      <x:c r="H133" s="8" t="n">
        <x:v>137940.38</x:v>
      </x:c>
      <x:c r="I133" t="str">
        <x:v>2026-06-04</x:v>
      </x:c>
      <x:c r="J133" t="str">
        <x:v>2026-06-06</x:v>
      </x:c>
      <x:c r="K133" t="n">
        <x:v>2</x:v>
      </x:c>
      <x:c r="L133" t="str">
        <x:v>Partial</x:v>
      </x:c>
      <x:c r="M133" t="str">
        <x:v>Matched</x:v>
      </x:c>
    </x:row>
    <x:row r="134">
      <x:c r="A134" t="str">
        <x:v>PO500132</x:v>
      </x:c>
      <x:c r="B134" t="str">
        <x:v>2026-02-10</x:v>
      </x:c>
      <x:c r="C134" t="str">
        <x:v>V1024</x:v>
      </x:c>
      <x:c r="D134" t="str">
        <x:v>MAT2074</x:v>
      </x:c>
      <x:c r="E134" t="n">
        <x:v>144</x:v>
      </x:c>
      <x:c r="F134" t="n">
        <x:v>144</x:v>
      </x:c>
      <x:c r="G134" s="8" t="n">
        <x:v>1048.71</x:v>
      </x:c>
      <x:c r="H134" s="8" t="n">
        <x:v>151014.24</x:v>
      </x:c>
      <x:c r="I134" t="str">
        <x:v>2026-02-26</x:v>
      </x:c>
      <x:c r="J134" t="str">
        <x:v>2026-02-26</x:v>
      </x:c>
      <x:c r="K134" t="n">
        <x:v>0</x:v>
      </x:c>
      <x:c r="L134" t="str">
        <x:v>Complete</x:v>
      </x:c>
      <x:c r="M134" t="str">
        <x:v>Matched</x:v>
      </x:c>
    </x:row>
    <x:row r="135">
      <x:c r="A135" t="str">
        <x:v>PO500133</x:v>
      </x:c>
      <x:c r="B135" t="str">
        <x:v>2026-08-07</x:v>
      </x:c>
      <x:c r="C135" t="str">
        <x:v>V1021</x:v>
      </x:c>
      <x:c r="D135" t="str">
        <x:v>MAT2003</x:v>
      </x:c>
      <x:c r="E135" t="n">
        <x:v>352</x:v>
      </x:c>
      <x:c r="F135" t="n">
        <x:v>352</x:v>
      </x:c>
      <x:c r="G135" s="8" t="n">
        <x:v>2143.91</x:v>
      </x:c>
      <x:c r="H135" s="8" t="n">
        <x:v>754656.32</x:v>
      </x:c>
      <x:c r="I135" t="str">
        <x:v>2026-08-13</x:v>
      </x:c>
      <x:c r="J135" t="str">
        <x:v>2026-08-13</x:v>
      </x:c>
      <x:c r="K135" t="n">
        <x:v>0</x:v>
      </x:c>
      <x:c r="L135" t="str">
        <x:v>Complete</x:v>
      </x:c>
      <x:c r="M135" t="str">
        <x:v>Matched</x:v>
      </x:c>
    </x:row>
    <x:row r="136">
      <x:c r="A136" t="str">
        <x:v>PO500134</x:v>
      </x:c>
      <x:c r="B136" t="str">
        <x:v>2026-04-19</x:v>
      </x:c>
      <x:c r="C136" t="str">
        <x:v>V1028</x:v>
      </x:c>
      <x:c r="D136" t="str">
        <x:v>MAT2037</x:v>
      </x:c>
      <x:c r="E136" t="n">
        <x:v>351</x:v>
      </x:c>
      <x:c r="F136" t="n">
        <x:v>351</x:v>
      </x:c>
      <x:c r="G136" s="8" t="n">
        <x:v>487.48</x:v>
      </x:c>
      <x:c r="H136" s="8" t="n">
        <x:v>171105.48</x:v>
      </x:c>
      <x:c r="I136" t="str">
        <x:v>2026-05-07</x:v>
      </x:c>
      <x:c r="J136" t="str">
        <x:v>2026-05-07</x:v>
      </x:c>
      <x:c r="K136" t="n">
        <x:v>0</x:v>
      </x:c>
      <x:c r="L136" t="str">
        <x:v>Complete</x:v>
      </x:c>
      <x:c r="M136" t="str">
        <x:v>Matched</x:v>
      </x:c>
    </x:row>
    <x:row r="137">
      <x:c r="A137" t="str">
        <x:v>PO500135</x:v>
      </x:c>
      <x:c r="B137" t="str">
        <x:v>2026-08-07</x:v>
      </x:c>
      <x:c r="C137" t="str">
        <x:v>V1004</x:v>
      </x:c>
      <x:c r="D137" t="str">
        <x:v>MAT2058</x:v>
      </x:c>
      <x:c r="E137" t="n">
        <x:v>61</x:v>
      </x:c>
      <x:c r="F137" t="n">
        <x:v>61</x:v>
      </x:c>
      <x:c r="G137" s="8" t="n">
        <x:v>783.08</x:v>
      </x:c>
      <x:c r="H137" s="8" t="n">
        <x:v>47767.88</x:v>
      </x:c>
      <x:c r="I137" t="str">
        <x:v>2026-08-19</x:v>
      </x:c>
      <x:c r="J137" t="str">
        <x:v>2026-08-24</x:v>
      </x:c>
      <x:c r="K137" t="n">
        <x:v>5</x:v>
      </x:c>
      <x:c r="L137" t="str">
        <x:v>Complete</x:v>
      </x:c>
      <x:c r="M137" t="str">
        <x:v>Mismatch</x:v>
      </x:c>
    </x:row>
    <x:row r="138">
      <x:c r="A138" t="str">
        <x:v>PO500136</x:v>
      </x:c>
      <x:c r="B138" t="str">
        <x:v>2026-06-25</x:v>
      </x:c>
      <x:c r="C138" t="str">
        <x:v>V1003</x:v>
      </x:c>
      <x:c r="D138" t="str">
        <x:v>MAT2047</x:v>
      </x:c>
      <x:c r="E138" t="n">
        <x:v>463</x:v>
      </x:c>
      <x:c r="F138" t="n">
        <x:v>463</x:v>
      </x:c>
      <x:c r="G138" s="8" t="n">
        <x:v>2094.06</x:v>
      </x:c>
      <x:c r="H138" s="8" t="n">
        <x:v>969549.78</x:v>
      </x:c>
      <x:c r="I138" t="str">
        <x:v>2026-07-14</x:v>
      </x:c>
      <x:c r="J138" t="str">
        <x:v>2026-07-16</x:v>
      </x:c>
      <x:c r="K138" t="n">
        <x:v>2</x:v>
      </x:c>
      <x:c r="L138" t="str">
        <x:v>Complete</x:v>
      </x:c>
      <x:c r="M138" t="str">
        <x:v>Pending</x:v>
      </x:c>
    </x:row>
    <x:row r="139">
      <x:c r="A139" t="str">
        <x:v>PO500137</x:v>
      </x:c>
      <x:c r="B139" t="str">
        <x:v>2026-06-30</x:v>
      </x:c>
      <x:c r="C139" t="str">
        <x:v>V1027</x:v>
      </x:c>
      <x:c r="D139" t="str">
        <x:v>MAT2034</x:v>
      </x:c>
      <x:c r="E139" t="n">
        <x:v>49</x:v>
      </x:c>
      <x:c r="F139" t="n">
        <x:v>47</x:v>
      </x:c>
      <x:c r="G139" s="8" t="n">
        <x:v>1707.69</x:v>
      </x:c>
      <x:c r="H139" s="8" t="n">
        <x:v>83676.81</x:v>
      </x:c>
      <x:c r="I139" t="str">
        <x:v>2026-07-18</x:v>
      </x:c>
      <x:c r="J139" t="str">
        <x:v>2026-07-18</x:v>
      </x:c>
      <x:c r="K139" t="n">
        <x:v>0</x:v>
      </x:c>
      <x:c r="L139" t="str">
        <x:v>Partial</x:v>
      </x:c>
      <x:c r="M139" t="str">
        <x:v>Matched</x:v>
      </x:c>
    </x:row>
    <x:row r="140">
      <x:c r="A140" t="str">
        <x:v>PO500138</x:v>
      </x:c>
      <x:c r="B140" t="str">
        <x:v>2026-08-21</x:v>
      </x:c>
      <x:c r="C140" t="str">
        <x:v>V1003</x:v>
      </x:c>
      <x:c r="D140" t="str">
        <x:v>MAT2074</x:v>
      </x:c>
      <x:c r="E140" t="n">
        <x:v>441</x:v>
      </x:c>
      <x:c r="F140" t="n">
        <x:v>415</x:v>
      </x:c>
      <x:c r="G140" s="8" t="n">
        <x:v>889.33</x:v>
      </x:c>
      <x:c r="H140" s="8" t="n">
        <x:v>392194.53</x:v>
      </x:c>
      <x:c r="I140" t="str">
        <x:v>2026-09-10</x:v>
      </x:c>
      <x:c r="J140" t="str">
        <x:v>2026-09-10</x:v>
      </x:c>
      <x:c r="K140" t="n">
        <x:v>0</x:v>
      </x:c>
      <x:c r="L140" t="str">
        <x:v>Partial</x:v>
      </x:c>
      <x:c r="M140" t="str">
        <x:v>Mismatch</x:v>
      </x:c>
    </x:row>
    <x:row r="141">
      <x:c r="A141" t="str">
        <x:v>PO500139</x:v>
      </x:c>
      <x:c r="B141" t="str">
        <x:v>2026-03-19</x:v>
      </x:c>
      <x:c r="C141" t="str">
        <x:v>V1030</x:v>
      </x:c>
      <x:c r="D141" t="str">
        <x:v>MAT2005</x:v>
      </x:c>
      <x:c r="E141" t="n">
        <x:v>31</x:v>
      </x:c>
      <x:c r="F141" t="n">
        <x:v>31</x:v>
      </x:c>
      <x:c r="G141" s="8" t="n">
        <x:v>685.08</x:v>
      </x:c>
      <x:c r="H141" s="8" t="n">
        <x:v>21237.48</x:v>
      </x:c>
      <x:c r="I141" t="str">
        <x:v>2026-03-30</x:v>
      </x:c>
      <x:c r="J141" t="str">
        <x:v>2026-03-30</x:v>
      </x:c>
      <x:c r="K141" t="n">
        <x:v>0</x:v>
      </x:c>
      <x:c r="L141" t="str">
        <x:v>Complete</x:v>
      </x:c>
      <x:c r="M141" t="str">
        <x:v>Matched</x:v>
      </x:c>
    </x:row>
    <x:row r="142">
      <x:c r="A142" t="str">
        <x:v>PO500140</x:v>
      </x:c>
      <x:c r="B142" t="str">
        <x:v>2026-05-06</x:v>
      </x:c>
      <x:c r="C142" t="str">
        <x:v>V1011</x:v>
      </x:c>
      <x:c r="D142" t="str">
        <x:v>MAT2079</x:v>
      </x:c>
      <x:c r="E142" t="n">
        <x:v>246</x:v>
      </x:c>
      <x:c r="F142" t="n">
        <x:v>246</x:v>
      </x:c>
      <x:c r="G142" s="8" t="n">
        <x:v>73.44</x:v>
      </x:c>
      <x:c r="H142" s="8" t="n">
        <x:v>18066.24</x:v>
      </x:c>
      <x:c r="I142" t="str">
        <x:v>2026-05-23</x:v>
      </x:c>
      <x:c r="J142" t="str">
        <x:v>2026-05-23</x:v>
      </x:c>
      <x:c r="K142" t="n">
        <x:v>0</x:v>
      </x:c>
      <x:c r="L142" t="str">
        <x:v>Complete</x:v>
      </x:c>
      <x:c r="M142" t="str">
        <x:v>Matched</x:v>
      </x:c>
    </x:row>
    <x:row r="143">
      <x:c r="A143" t="str">
        <x:v>PO500141</x:v>
      </x:c>
      <x:c r="B143" t="str">
        <x:v>2026-04-13</x:v>
      </x:c>
      <x:c r="C143" t="str">
        <x:v>V1002</x:v>
      </x:c>
      <x:c r="D143" t="str">
        <x:v>MAT2071</x:v>
      </x:c>
      <x:c r="E143" t="n">
        <x:v>435</x:v>
      </x:c>
      <x:c r="F143" t="n">
        <x:v>435</x:v>
      </x:c>
      <x:c r="G143" s="8" t="n">
        <x:v>692.56</x:v>
      </x:c>
      <x:c r="H143" s="8" t="n">
        <x:v>301263.6</x:v>
      </x:c>
      <x:c r="I143" t="str">
        <x:v>2026-04-26</x:v>
      </x:c>
      <x:c r="J143" t="str">
        <x:v>2026-04-26</x:v>
      </x:c>
      <x:c r="K143" t="n">
        <x:v>0</x:v>
      </x:c>
      <x:c r="L143" t="str">
        <x:v>Complete</x:v>
      </x:c>
      <x:c r="M143" t="str">
        <x:v>Matched</x:v>
      </x:c>
    </x:row>
    <x:row r="144">
      <x:c r="A144" t="str">
        <x:v>PO500142</x:v>
      </x:c>
      <x:c r="B144" t="str">
        <x:v>2026-01-13</x:v>
      </x:c>
      <x:c r="C144" t="str">
        <x:v>V1027</x:v>
      </x:c>
      <x:c r="D144" t="str">
        <x:v>MAT2031</x:v>
      </x:c>
      <x:c r="E144" t="n">
        <x:v>294</x:v>
      </x:c>
      <x:c r="F144" t="n">
        <x:v>294</x:v>
      </x:c>
      <x:c r="G144" s="8" t="n">
        <x:v>1650.05</x:v>
      </x:c>
      <x:c r="H144" s="8" t="n">
        <x:v>485114.7</x:v>
      </x:c>
      <x:c r="I144" t="str">
        <x:v>2026-01-21</x:v>
      </x:c>
      <x:c r="J144" t="str">
        <x:v>2026-01-21</x:v>
      </x:c>
      <x:c r="K144" t="n">
        <x:v>0</x:v>
      </x:c>
      <x:c r="L144" t="str">
        <x:v>Complete</x:v>
      </x:c>
      <x:c r="M144" t="str">
        <x:v>Matched</x:v>
      </x:c>
    </x:row>
    <x:row r="145">
      <x:c r="A145" t="str">
        <x:v>PO500143</x:v>
      </x:c>
      <x:c r="B145" t="str">
        <x:v>2026-03-03</x:v>
      </x:c>
      <x:c r="C145" t="str">
        <x:v>V1012</x:v>
      </x:c>
      <x:c r="D145" t="str">
        <x:v>MAT2046</x:v>
      </x:c>
      <x:c r="E145" t="n">
        <x:v>368</x:v>
      </x:c>
      <x:c r="F145" t="n">
        <x:v>368</x:v>
      </x:c>
      <x:c r="G145" s="8" t="n">
        <x:v>271.14</x:v>
      </x:c>
      <x:c r="H145" s="8" t="n">
        <x:v>99779.52</x:v>
      </x:c>
      <x:c r="I145" t="str">
        <x:v>2026-03-06</x:v>
      </x:c>
      <x:c r="J145" t="str">
        <x:v>2026-03-06</x:v>
      </x:c>
      <x:c r="K145" t="n">
        <x:v>0</x:v>
      </x:c>
      <x:c r="L145" t="str">
        <x:v>Complete</x:v>
      </x:c>
      <x:c r="M145" t="str">
        <x:v>Mismatch</x:v>
      </x:c>
    </x:row>
    <x:row r="146">
      <x:c r="A146" t="str">
        <x:v>PO500144</x:v>
      </x:c>
      <x:c r="B146" t="str">
        <x:v>2026-08-27</x:v>
      </x:c>
      <x:c r="C146" t="str">
        <x:v>V1022</x:v>
      </x:c>
      <x:c r="D146" t="str">
        <x:v>MAT2026</x:v>
      </x:c>
      <x:c r="E146" t="n">
        <x:v>126</x:v>
      </x:c>
      <x:c r="F146" t="n">
        <x:v>118</x:v>
      </x:c>
      <x:c r="G146" s="8" t="n">
        <x:v>1329.76</x:v>
      </x:c>
      <x:c r="H146" s="8" t="n">
        <x:v>167549.76</x:v>
      </x:c>
      <x:c r="I146" t="str">
        <x:v>2026-08-31</x:v>
      </x:c>
      <x:c r="J146" t="str">
        <x:v>2026-08-31</x:v>
      </x:c>
      <x:c r="K146" t="n">
        <x:v>0</x:v>
      </x:c>
      <x:c r="L146" t="str">
        <x:v>Partial</x:v>
      </x:c>
      <x:c r="M146" t="str">
        <x:v>Mismatch</x:v>
      </x:c>
    </x:row>
    <x:row r="147">
      <x:c r="A147" t="str">
        <x:v>PO500145</x:v>
      </x:c>
      <x:c r="B147" t="str">
        <x:v>2026-04-25</x:v>
      </x:c>
      <x:c r="C147" t="str">
        <x:v>V1010</x:v>
      </x:c>
      <x:c r="D147" t="str">
        <x:v>MAT2020</x:v>
      </x:c>
      <x:c r="E147" t="n">
        <x:v>310</x:v>
      </x:c>
      <x:c r="F147" t="n">
        <x:v>310</x:v>
      </x:c>
      <x:c r="G147" s="8" t="n">
        <x:v>725.65</x:v>
      </x:c>
      <x:c r="H147" s="8" t="n">
        <x:v>224951.5</x:v>
      </x:c>
      <x:c r="I147" t="str">
        <x:v>2026-05-06</x:v>
      </x:c>
      <x:c r="J147" t="str">
        <x:v>2026-05-06</x:v>
      </x:c>
      <x:c r="K147" t="n">
        <x:v>0</x:v>
      </x:c>
      <x:c r="L147" t="str">
        <x:v>Complete</x:v>
      </x:c>
      <x:c r="M147" t="str">
        <x:v>Matched</x:v>
      </x:c>
    </x:row>
    <x:row r="148">
      <x:c r="A148" t="str">
        <x:v>PO500146</x:v>
      </x:c>
      <x:c r="B148" t="str">
        <x:v>2026-03-16</x:v>
      </x:c>
      <x:c r="C148" t="str">
        <x:v>V1003</x:v>
      </x:c>
      <x:c r="D148" t="str">
        <x:v>MAT2045</x:v>
      </x:c>
      <x:c r="E148" t="n">
        <x:v>207</x:v>
      </x:c>
      <x:c r="F148" t="n">
        <x:v>207</x:v>
      </x:c>
      <x:c r="G148" s="8" t="n">
        <x:v>1576.88</x:v>
      </x:c>
      <x:c r="H148" s="8" t="n">
        <x:v>326414.16</x:v>
      </x:c>
      <x:c r="I148" t="str">
        <x:v>2026-03-27</x:v>
      </x:c>
      <x:c r="J148" t="str">
        <x:v>2026-03-28</x:v>
      </x:c>
      <x:c r="K148" t="n">
        <x:v>1</x:v>
      </x:c>
      <x:c r="L148" t="str">
        <x:v>Complete</x:v>
      </x:c>
      <x:c r="M148" t="str">
        <x:v>Matched</x:v>
      </x:c>
    </x:row>
    <x:row r="149">
      <x:c r="A149" t="str">
        <x:v>PO500147</x:v>
      </x:c>
      <x:c r="B149" t="str">
        <x:v>2026-07-06</x:v>
      </x:c>
      <x:c r="C149" t="str">
        <x:v>V1012</x:v>
      </x:c>
      <x:c r="D149" t="str">
        <x:v>MAT2021</x:v>
      </x:c>
      <x:c r="E149" t="n">
        <x:v>379</x:v>
      </x:c>
      <x:c r="F149" t="n">
        <x:v>379</x:v>
      </x:c>
      <x:c r="G149" s="8" t="n">
        <x:v>38.95</x:v>
      </x:c>
      <x:c r="H149" s="8" t="n">
        <x:v>14762.05</x:v>
      </x:c>
      <x:c r="I149" t="str">
        <x:v>2026-07-26</x:v>
      </x:c>
      <x:c r="J149" t="str">
        <x:v>2026-07-26</x:v>
      </x:c>
      <x:c r="K149" t="n">
        <x:v>0</x:v>
      </x:c>
      <x:c r="L149" t="str">
        <x:v>Complete</x:v>
      </x:c>
      <x:c r="M149" t="str">
        <x:v>Matched</x:v>
      </x:c>
    </x:row>
    <x:row r="150">
      <x:c r="A150" t="str">
        <x:v>PO500148</x:v>
      </x:c>
      <x:c r="B150" t="str">
        <x:v>2026-08-28</x:v>
      </x:c>
      <x:c r="C150" t="str">
        <x:v>V1010</x:v>
      </x:c>
      <x:c r="D150" t="str">
        <x:v>MAT2056</x:v>
      </x:c>
      <x:c r="E150" t="n">
        <x:v>273</x:v>
      </x:c>
      <x:c r="F150" t="n">
        <x:v>264</x:v>
      </x:c>
      <x:c r="G150" s="8" t="n">
        <x:v>2435.55</x:v>
      </x:c>
      <x:c r="H150" s="8" t="n">
        <x:v>664905.15</x:v>
      </x:c>
      <x:c r="I150" t="str">
        <x:v>2026-09-16</x:v>
      </x:c>
      <x:c r="J150" t="str">
        <x:v>2026-09-16</x:v>
      </x:c>
      <x:c r="K150" t="n">
        <x:v>0</x:v>
      </x:c>
      <x:c r="L150" t="str">
        <x:v>Partial</x:v>
      </x:c>
      <x:c r="M150" t="str">
        <x:v>Matched</x:v>
      </x:c>
    </x:row>
    <x:row r="151">
      <x:c r="A151" t="str">
        <x:v>PO500149</x:v>
      </x:c>
      <x:c r="B151" t="str">
        <x:v>2026-06-29</x:v>
      </x:c>
      <x:c r="C151" t="str">
        <x:v>V1001</x:v>
      </x:c>
      <x:c r="D151" t="str">
        <x:v>MAT2010</x:v>
      </x:c>
      <x:c r="E151" t="n">
        <x:v>56</x:v>
      </x:c>
      <x:c r="F151" t="n">
        <x:v>56</x:v>
      </x:c>
      <x:c r="G151" s="8" t="n">
        <x:v>498.2</x:v>
      </x:c>
      <x:c r="H151" s="8" t="n">
        <x:v>27899.2</x:v>
      </x:c>
      <x:c r="I151" t="str">
        <x:v>2026-07-06</x:v>
      </x:c>
      <x:c r="J151" t="str">
        <x:v>2026-07-06</x:v>
      </x:c>
      <x:c r="K151" t="n">
        <x:v>0</x:v>
      </x:c>
      <x:c r="L151" t="str">
        <x:v>Complete</x:v>
      </x:c>
      <x:c r="M151" t="str">
        <x:v>Mismatch</x:v>
      </x:c>
    </x:row>
    <x:row r="152">
      <x:c r="A152" t="str">
        <x:v>PO500150</x:v>
      </x:c>
      <x:c r="B152" t="str">
        <x:v>2026-02-10</x:v>
      </x:c>
      <x:c r="C152" t="str">
        <x:v>V1034</x:v>
      </x:c>
      <x:c r="D152" t="str">
        <x:v>MAT2062</x:v>
      </x:c>
      <x:c r="E152" t="n">
        <x:v>337</x:v>
      </x:c>
      <x:c r="F152" t="n">
        <x:v>337</x:v>
      </x:c>
      <x:c r="G152" s="8" t="n">
        <x:v>1101.32</x:v>
      </x:c>
      <x:c r="H152" s="8" t="n">
        <x:v>371144.84</x:v>
      </x:c>
      <x:c r="I152" t="str">
        <x:v>2026-02-24</x:v>
      </x:c>
      <x:c r="J152" t="str">
        <x:v>2026-02-24</x:v>
      </x:c>
      <x:c r="K152" t="n">
        <x:v>0</x:v>
      </x:c>
      <x:c r="L152" t="str">
        <x:v>Complete</x:v>
      </x:c>
      <x:c r="M152" t="str">
        <x:v>Matched</x:v>
      </x:c>
    </x:row>
    <x:row r="153">
      <x:c r="A153" t="str">
        <x:v>PO500151</x:v>
      </x:c>
      <x:c r="B153" t="str">
        <x:v>2026-02-21</x:v>
      </x:c>
      <x:c r="C153" t="str">
        <x:v>V1008</x:v>
      </x:c>
      <x:c r="D153" t="str">
        <x:v>MAT2015</x:v>
      </x:c>
      <x:c r="E153" t="n">
        <x:v>212</x:v>
      </x:c>
      <x:c r="F153" t="n">
        <x:v>212</x:v>
      </x:c>
      <x:c r="G153" s="8" t="n">
        <x:v>1052.32</x:v>
      </x:c>
      <x:c r="H153" s="8" t="n">
        <x:v>223091.84</x:v>
      </x:c>
      <x:c r="I153" t="str">
        <x:v>2026-02-24</x:v>
      </x:c>
      <x:c r="J153" t="str">
        <x:v>2026-03-04</x:v>
      </x:c>
      <x:c r="K153" t="n">
        <x:v>8</x:v>
      </x:c>
      <x:c r="L153" t="str">
        <x:v>Complete</x:v>
      </x:c>
      <x:c r="M153" t="str">
        <x:v>Matched</x:v>
      </x:c>
    </x:row>
    <x:row r="154">
      <x:c r="A154" t="str">
        <x:v>PO500152</x:v>
      </x:c>
      <x:c r="B154" t="str">
        <x:v>2026-08-29</x:v>
      </x:c>
      <x:c r="C154" t="str">
        <x:v>V1025</x:v>
      </x:c>
      <x:c r="D154" t="str">
        <x:v>MAT2047</x:v>
      </x:c>
      <x:c r="E154" t="n">
        <x:v>474</x:v>
      </x:c>
      <x:c r="F154" t="n">
        <x:v>474</x:v>
      </x:c>
      <x:c r="G154" s="8" t="n">
        <x:v>1319.31</x:v>
      </x:c>
      <x:c r="H154" s="8" t="n">
        <x:v>625352.94</x:v>
      </x:c>
      <x:c r="I154" t="str">
        <x:v>2026-09-18</x:v>
      </x:c>
      <x:c r="J154" t="str">
        <x:v>2026-09-23</x:v>
      </x:c>
      <x:c r="K154" t="n">
        <x:v>5</x:v>
      </x:c>
      <x:c r="L154" t="str">
        <x:v>Complete</x:v>
      </x:c>
      <x:c r="M154" t="str">
        <x:v>Matched</x:v>
      </x:c>
    </x:row>
    <x:row r="155">
      <x:c r="A155" t="str">
        <x:v>PO500153</x:v>
      </x:c>
      <x:c r="B155" t="str">
        <x:v>2026-05-25</x:v>
      </x:c>
      <x:c r="C155" t="str">
        <x:v>V1029</x:v>
      </x:c>
      <x:c r="D155" t="str">
        <x:v>MAT2053</x:v>
      </x:c>
      <x:c r="E155" t="n">
        <x:v>246</x:v>
      </x:c>
      <x:c r="F155" t="n">
        <x:v>246</x:v>
      </x:c>
      <x:c r="G155" s="8" t="n">
        <x:v>1073.09</x:v>
      </x:c>
      <x:c r="H155" s="8" t="n">
        <x:v>263980.14</x:v>
      </x:c>
      <x:c r="I155" t="str">
        <x:v>2026-06-11</x:v>
      </x:c>
      <x:c r="J155" t="str">
        <x:v>2026-06-11</x:v>
      </x:c>
      <x:c r="K155" t="n">
        <x:v>0</x:v>
      </x:c>
      <x:c r="L155" t="str">
        <x:v>Complete</x:v>
      </x:c>
      <x:c r="M155" t="str">
        <x:v>Mismatch</x:v>
      </x:c>
    </x:row>
    <x:row r="156">
      <x:c r="A156" t="str">
        <x:v>PO500154</x:v>
      </x:c>
      <x:c r="B156" t="str">
        <x:v>2026-02-26</x:v>
      </x:c>
      <x:c r="C156" t="str">
        <x:v>V1034</x:v>
      </x:c>
      <x:c r="D156" t="str">
        <x:v>MAT2047</x:v>
      </x:c>
      <x:c r="E156" t="n">
        <x:v>398</x:v>
      </x:c>
      <x:c r="F156" t="n">
        <x:v>398</x:v>
      </x:c>
      <x:c r="G156" s="8" t="n">
        <x:v>110.99</x:v>
      </x:c>
      <x:c r="H156" s="8" t="n">
        <x:v>44174.02</x:v>
      </x:c>
      <x:c r="I156" t="str">
        <x:v>2026-03-05</x:v>
      </x:c>
      <x:c r="J156" t="str">
        <x:v>2026-03-10</x:v>
      </x:c>
      <x:c r="K156" t="n">
        <x:v>5</x:v>
      </x:c>
      <x:c r="L156" t="str">
        <x:v>Complete</x:v>
      </x:c>
      <x:c r="M156" t="str">
        <x:v>Matched</x:v>
      </x:c>
    </x:row>
    <x:row r="157">
      <x:c r="A157" t="str">
        <x:v>PO500155</x:v>
      </x:c>
      <x:c r="B157" t="str">
        <x:v>2026-01-02</x:v>
      </x:c>
      <x:c r="C157" t="str">
        <x:v>V1033</x:v>
      </x:c>
      <x:c r="D157" t="str">
        <x:v>MAT2034</x:v>
      </x:c>
      <x:c r="E157" t="n">
        <x:v>183</x:v>
      </x:c>
      <x:c r="F157" t="n">
        <x:v>183</x:v>
      </x:c>
      <x:c r="G157" s="8" t="n">
        <x:v>1489.51</x:v>
      </x:c>
      <x:c r="H157" s="8" t="n">
        <x:v>272580.33</x:v>
      </x:c>
      <x:c r="I157" t="str">
        <x:v>2026-01-11</x:v>
      </x:c>
      <x:c r="J157" t="str">
        <x:v>2026-01-11</x:v>
      </x:c>
      <x:c r="K157" t="n">
        <x:v>0</x:v>
      </x:c>
      <x:c r="L157" t="str">
        <x:v>Complete</x:v>
      </x:c>
      <x:c r="M157" t="str">
        <x:v>Matched</x:v>
      </x:c>
    </x:row>
    <x:row r="158">
      <x:c r="A158" t="str">
        <x:v>PO500156</x:v>
      </x:c>
      <x:c r="B158" t="str">
        <x:v>2026-03-16</x:v>
      </x:c>
      <x:c r="C158" t="str">
        <x:v>V1005</x:v>
      </x:c>
      <x:c r="D158" t="str">
        <x:v>MAT2017</x:v>
      </x:c>
      <x:c r="E158" t="n">
        <x:v>33</x:v>
      </x:c>
      <x:c r="F158" t="n">
        <x:v>33</x:v>
      </x:c>
      <x:c r="G158" s="8" t="n">
        <x:v>89.93</x:v>
      </x:c>
      <x:c r="H158" s="8" t="n">
        <x:v>2967.69</x:v>
      </x:c>
      <x:c r="I158" t="str">
        <x:v>2026-03-21</x:v>
      </x:c>
      <x:c r="J158" t="str">
        <x:v>2026-03-21</x:v>
      </x:c>
      <x:c r="K158" t="n">
        <x:v>0</x:v>
      </x:c>
      <x:c r="L158" t="str">
        <x:v>Complete</x:v>
      </x:c>
      <x:c r="M158" t="str">
        <x:v>Matched</x:v>
      </x:c>
    </x:row>
    <x:row r="159">
      <x:c r="A159" t="str">
        <x:v>PO500157</x:v>
      </x:c>
      <x:c r="B159" t="str">
        <x:v>2026-01-09</x:v>
      </x:c>
      <x:c r="C159" t="str">
        <x:v>V1028</x:v>
      </x:c>
      <x:c r="D159" t="str">
        <x:v>MAT2012</x:v>
      </x:c>
      <x:c r="E159" t="n">
        <x:v>71</x:v>
      </x:c>
      <x:c r="F159" t="n">
        <x:v>70</x:v>
      </x:c>
      <x:c r="G159" s="8" t="n">
        <x:v>940.24</x:v>
      </x:c>
      <x:c r="H159" s="8" t="n">
        <x:v>66757.04</x:v>
      </x:c>
      <x:c r="I159" t="str">
        <x:v>2026-01-26</x:v>
      </x:c>
      <x:c r="J159" t="str">
        <x:v>2026-01-26</x:v>
      </x:c>
      <x:c r="K159" t="n">
        <x:v>0</x:v>
      </x:c>
      <x:c r="L159" t="str">
        <x:v>Partial</x:v>
      </x:c>
      <x:c r="M159" t="str">
        <x:v>Mismatch</x:v>
      </x:c>
    </x:row>
    <x:row r="160">
      <x:c r="A160" t="str">
        <x:v>PO500158</x:v>
      </x:c>
      <x:c r="B160" t="str">
        <x:v>2026-05-13</x:v>
      </x:c>
      <x:c r="C160" t="str">
        <x:v>V1006</x:v>
      </x:c>
      <x:c r="D160" t="str">
        <x:v>MAT2002</x:v>
      </x:c>
      <x:c r="E160" t="n">
        <x:v>473</x:v>
      </x:c>
      <x:c r="F160" t="n">
        <x:v>473</x:v>
      </x:c>
      <x:c r="G160" s="8" t="n">
        <x:v>1395.45</x:v>
      </x:c>
      <x:c r="H160" s="8" t="n">
        <x:v>660047.85</x:v>
      </x:c>
      <x:c r="I160" t="str">
        <x:v>2026-05-30</x:v>
      </x:c>
      <x:c r="J160" t="str">
        <x:v>2026-05-30</x:v>
      </x:c>
      <x:c r="K160" t="n">
        <x:v>0</x:v>
      </x:c>
      <x:c r="L160" t="str">
        <x:v>Complete</x:v>
      </x:c>
      <x:c r="M160" t="str">
        <x:v>Matched</x:v>
      </x:c>
    </x:row>
    <x:row r="161">
      <x:c r="A161" t="str">
        <x:v>PO500159</x:v>
      </x:c>
      <x:c r="B161" t="str">
        <x:v>2026-04-30</x:v>
      </x:c>
      <x:c r="C161" t="str">
        <x:v>V1000</x:v>
      </x:c>
      <x:c r="D161" t="str">
        <x:v>MAT2035</x:v>
      </x:c>
      <x:c r="E161" t="n">
        <x:v>226</x:v>
      </x:c>
      <x:c r="F161" t="n">
        <x:v>226</x:v>
      </x:c>
      <x:c r="G161" s="8" t="n">
        <x:v>2446.59</x:v>
      </x:c>
      <x:c r="H161" s="8" t="n">
        <x:v>552929.34</x:v>
      </x:c>
      <x:c r="I161" t="str">
        <x:v>2026-05-17</x:v>
      </x:c>
      <x:c r="J161" t="str">
        <x:v>2026-05-17</x:v>
      </x:c>
      <x:c r="K161" t="n">
        <x:v>0</x:v>
      </x:c>
      <x:c r="L161" t="str">
        <x:v>Complete</x:v>
      </x:c>
      <x:c r="M161" t="str">
        <x:v>Matched</x:v>
      </x:c>
    </x:row>
    <x:row r="162">
      <x:c r="A162" t="str">
        <x:v>PO500160</x:v>
      </x:c>
      <x:c r="B162" t="str">
        <x:v>2026-05-20</x:v>
      </x:c>
      <x:c r="C162" t="str">
        <x:v>V1027</x:v>
      </x:c>
      <x:c r="D162" t="str">
        <x:v>MAT2079</x:v>
      </x:c>
      <x:c r="E162" t="n">
        <x:v>403</x:v>
      </x:c>
      <x:c r="F162" t="n">
        <x:v>403</x:v>
      </x:c>
      <x:c r="G162" s="8" t="n">
        <x:v>1459.59</x:v>
      </x:c>
      <x:c r="H162" s="8" t="n">
        <x:v>588214.77</x:v>
      </x:c>
      <x:c r="I162" t="str">
        <x:v>2026-06-02</x:v>
      </x:c>
      <x:c r="J162" t="str">
        <x:v>2026-06-02</x:v>
      </x:c>
      <x:c r="K162" t="n">
        <x:v>0</x:v>
      </x:c>
      <x:c r="L162" t="str">
        <x:v>Complete</x:v>
      </x:c>
      <x:c r="M162" t="str">
        <x:v>Matched</x:v>
      </x:c>
    </x:row>
    <x:row r="163">
      <x:c r="A163" t="str">
        <x:v>PO500161</x:v>
      </x:c>
      <x:c r="B163" t="str">
        <x:v>2026-03-29</x:v>
      </x:c>
      <x:c r="C163" t="str">
        <x:v>V1007</x:v>
      </x:c>
      <x:c r="D163" t="str">
        <x:v>MAT2042</x:v>
      </x:c>
      <x:c r="E163" t="n">
        <x:v>406</x:v>
      </x:c>
      <x:c r="F163" t="n">
        <x:v>406</x:v>
      </x:c>
      <x:c r="G163" s="8" t="n">
        <x:v>1355.79</x:v>
      </x:c>
      <x:c r="H163" s="8" t="n">
        <x:v>550450.74</x:v>
      </x:c>
      <x:c r="I163" t="str">
        <x:v>2026-04-09</x:v>
      </x:c>
      <x:c r="J163" t="str">
        <x:v>2026-04-09</x:v>
      </x:c>
      <x:c r="K163" t="n">
        <x:v>0</x:v>
      </x:c>
      <x:c r="L163" t="str">
        <x:v>Complete</x:v>
      </x:c>
      <x:c r="M163" t="str">
        <x:v>Matched</x:v>
      </x:c>
    </x:row>
    <x:row r="164">
      <x:c r="A164" t="str">
        <x:v>PO500162</x:v>
      </x:c>
      <x:c r="B164" t="str">
        <x:v>2026-06-14</x:v>
      </x:c>
      <x:c r="C164" t="str">
        <x:v>V1010</x:v>
      </x:c>
      <x:c r="D164" t="str">
        <x:v>MAT2072</x:v>
      </x:c>
      <x:c r="E164" t="n">
        <x:v>115</x:v>
      </x:c>
      <x:c r="F164" t="n">
        <x:v>115</x:v>
      </x:c>
      <x:c r="G164" s="8" t="n">
        <x:v>2319.55</x:v>
      </x:c>
      <x:c r="H164" s="8" t="n">
        <x:v>266748.25</x:v>
      </x:c>
      <x:c r="I164" t="str">
        <x:v>2026-07-01</x:v>
      </x:c>
      <x:c r="J164" t="str">
        <x:v>2026-07-01</x:v>
      </x:c>
      <x:c r="K164" t="n">
        <x:v>0</x:v>
      </x:c>
      <x:c r="L164" t="str">
        <x:v>Complete</x:v>
      </x:c>
      <x:c r="M164" t="str">
        <x:v>Matched</x:v>
      </x:c>
    </x:row>
    <x:row r="165">
      <x:c r="A165" t="str">
        <x:v>PO500163</x:v>
      </x:c>
      <x:c r="B165" t="str">
        <x:v>2026-05-21</x:v>
      </x:c>
      <x:c r="C165" t="str">
        <x:v>V1001</x:v>
      </x:c>
      <x:c r="D165" t="str">
        <x:v>MAT2016</x:v>
      </x:c>
      <x:c r="E165" t="n">
        <x:v>208</x:v>
      </x:c>
      <x:c r="F165" t="n">
        <x:v>208</x:v>
      </x:c>
      <x:c r="G165" s="8" t="n">
        <x:v>972.31</x:v>
      </x:c>
      <x:c r="H165" s="8" t="n">
        <x:v>202240.48</x:v>
      </x:c>
      <x:c r="I165" t="str">
        <x:v>2026-05-28</x:v>
      </x:c>
      <x:c r="J165" t="str">
        <x:v>2026-05-29</x:v>
      </x:c>
      <x:c r="K165" t="n">
        <x:v>1</x:v>
      </x:c>
      <x:c r="L165" t="str">
        <x:v>Complete</x:v>
      </x:c>
      <x:c r="M165" t="str">
        <x:v>Pending</x:v>
      </x:c>
    </x:row>
    <x:row r="166">
      <x:c r="A166" t="str">
        <x:v>PO500164</x:v>
      </x:c>
      <x:c r="B166" t="str">
        <x:v>2026-07-10</x:v>
      </x:c>
      <x:c r="C166" t="str">
        <x:v>V1005</x:v>
      </x:c>
      <x:c r="D166" t="str">
        <x:v>MAT2057</x:v>
      </x:c>
      <x:c r="E166" t="n">
        <x:v>430</x:v>
      </x:c>
      <x:c r="F166" t="n">
        <x:v>430</x:v>
      </x:c>
      <x:c r="G166" s="8" t="n">
        <x:v>936.07</x:v>
      </x:c>
      <x:c r="H166" s="8" t="n">
        <x:v>402510.1</x:v>
      </x:c>
      <x:c r="I166" t="str">
        <x:v>2026-07-16</x:v>
      </x:c>
      <x:c r="J166" t="str">
        <x:v>2026-07-16</x:v>
      </x:c>
      <x:c r="K166" t="n">
        <x:v>0</x:v>
      </x:c>
      <x:c r="L166" t="str">
        <x:v>Complete</x:v>
      </x:c>
      <x:c r="M166" t="str">
        <x:v>Pending</x:v>
      </x:c>
    </x:row>
    <x:row r="167">
      <x:c r="A167" t="str">
        <x:v>PO500165</x:v>
      </x:c>
      <x:c r="B167" t="str">
        <x:v>2026-04-13</x:v>
      </x:c>
      <x:c r="C167" t="str">
        <x:v>V1001</x:v>
      </x:c>
      <x:c r="D167" t="str">
        <x:v>MAT2000</x:v>
      </x:c>
      <x:c r="E167" t="n">
        <x:v>296</x:v>
      </x:c>
      <x:c r="F167" t="n">
        <x:v>296</x:v>
      </x:c>
      <x:c r="G167" s="8" t="n">
        <x:v>1080.79</x:v>
      </x:c>
      <x:c r="H167" s="8" t="n">
        <x:v>319913.84</x:v>
      </x:c>
      <x:c r="I167" t="str">
        <x:v>2026-04-24</x:v>
      </x:c>
      <x:c r="J167" t="str">
        <x:v>2026-04-26</x:v>
      </x:c>
      <x:c r="K167" t="n">
        <x:v>2</x:v>
      </x:c>
      <x:c r="L167" t="str">
        <x:v>Complete</x:v>
      </x:c>
      <x:c r="M167" t="str">
        <x:v>Pending</x:v>
      </x:c>
    </x:row>
    <x:row r="168">
      <x:c r="A168" t="str">
        <x:v>PO500166</x:v>
      </x:c>
      <x:c r="B168" t="str">
        <x:v>2026-03-24</x:v>
      </x:c>
      <x:c r="C168" t="str">
        <x:v>V1019</x:v>
      </x:c>
      <x:c r="D168" t="str">
        <x:v>MAT2036</x:v>
      </x:c>
      <x:c r="E168" t="n">
        <x:v>438</x:v>
      </x:c>
      <x:c r="F168" t="n">
        <x:v>438</x:v>
      </x:c>
      <x:c r="G168" s="8" t="n">
        <x:v>485.84</x:v>
      </x:c>
      <x:c r="H168" s="8" t="n">
        <x:v>212797.92</x:v>
      </x:c>
      <x:c r="I168" t="str">
        <x:v>2026-04-09</x:v>
      </x:c>
      <x:c r="J168" t="str">
        <x:v>2026-04-09</x:v>
      </x:c>
      <x:c r="K168" t="n">
        <x:v>0</x:v>
      </x:c>
      <x:c r="L168" t="str">
        <x:v>Complete</x:v>
      </x:c>
      <x:c r="M168" t="str">
        <x:v>Pending</x:v>
      </x:c>
    </x:row>
    <x:row r="169">
      <x:c r="A169" t="str">
        <x:v>PO500167</x:v>
      </x:c>
      <x:c r="B169" t="str">
        <x:v>2026-05-19</x:v>
      </x:c>
      <x:c r="C169" t="str">
        <x:v>V1006</x:v>
      </x:c>
      <x:c r="D169" t="str">
        <x:v>MAT2058</x:v>
      </x:c>
      <x:c r="E169" t="n">
        <x:v>295</x:v>
      </x:c>
      <x:c r="F169" t="n">
        <x:v>274</x:v>
      </x:c>
      <x:c r="G169" s="8" t="n">
        <x:v>335.65</x:v>
      </x:c>
      <x:c r="H169" s="8" t="n">
        <x:v>99016.75</x:v>
      </x:c>
      <x:c r="I169" t="str">
        <x:v>2026-05-31</x:v>
      </x:c>
      <x:c r="J169" t="str">
        <x:v>2026-05-31</x:v>
      </x:c>
      <x:c r="K169" t="n">
        <x:v>0</x:v>
      </x:c>
      <x:c r="L169" t="str">
        <x:v>Partial</x:v>
      </x:c>
      <x:c r="M169" t="str">
        <x:v>Mismatch</x:v>
      </x:c>
    </x:row>
    <x:row r="170">
      <x:c r="A170" t="str">
        <x:v>PO500168</x:v>
      </x:c>
      <x:c r="B170" t="str">
        <x:v>2026-03-10</x:v>
      </x:c>
      <x:c r="C170" t="str">
        <x:v>V1012</x:v>
      </x:c>
      <x:c r="D170" t="str">
        <x:v>MAT2044</x:v>
      </x:c>
      <x:c r="E170" t="n">
        <x:v>76</x:v>
      </x:c>
      <x:c r="F170" t="n">
        <x:v>76</x:v>
      </x:c>
      <x:c r="G170" s="8" t="n">
        <x:v>808.49</x:v>
      </x:c>
      <x:c r="H170" s="8" t="n">
        <x:v>61445.24</x:v>
      </x:c>
      <x:c r="I170" t="str">
        <x:v>2026-03-16</x:v>
      </x:c>
      <x:c r="J170" t="str">
        <x:v>2026-03-16</x:v>
      </x:c>
      <x:c r="K170" t="n">
        <x:v>0</x:v>
      </x:c>
      <x:c r="L170" t="str">
        <x:v>Complete</x:v>
      </x:c>
      <x:c r="M170" t="str">
        <x:v>Matched</x:v>
      </x:c>
    </x:row>
    <x:row r="171">
      <x:c r="A171" t="str">
        <x:v>PO500169</x:v>
      </x:c>
      <x:c r="B171" t="str">
        <x:v>2026-04-08</x:v>
      </x:c>
      <x:c r="C171" t="str">
        <x:v>V1021</x:v>
      </x:c>
      <x:c r="D171" t="str">
        <x:v>MAT2050</x:v>
      </x:c>
      <x:c r="E171" t="n">
        <x:v>498</x:v>
      </x:c>
      <x:c r="F171" t="n">
        <x:v>498</x:v>
      </x:c>
      <x:c r="G171" s="8" t="n">
        <x:v>1182.32</x:v>
      </x:c>
      <x:c r="H171" s="8" t="n">
        <x:v>588795.36</x:v>
      </x:c>
      <x:c r="I171" t="str">
        <x:v>2026-04-15</x:v>
      </x:c>
      <x:c r="J171" t="str">
        <x:v>2026-04-15</x:v>
      </x:c>
      <x:c r="K171" t="n">
        <x:v>0</x:v>
      </x:c>
      <x:c r="L171" t="str">
        <x:v>Complete</x:v>
      </x:c>
      <x:c r="M171" t="str">
        <x:v>Mismatch</x:v>
      </x:c>
    </x:row>
    <x:row r="172">
      <x:c r="A172" t="str">
        <x:v>PO500170</x:v>
      </x:c>
      <x:c r="B172" t="str">
        <x:v>2026-07-10</x:v>
      </x:c>
      <x:c r="C172" t="str">
        <x:v>V1007</x:v>
      </x:c>
      <x:c r="D172" t="str">
        <x:v>MAT2045</x:v>
      </x:c>
      <x:c r="E172" t="n">
        <x:v>252</x:v>
      </x:c>
      <x:c r="F172" t="n">
        <x:v>238</x:v>
      </x:c>
      <x:c r="G172" s="8" t="n">
        <x:v>1071.12</x:v>
      </x:c>
      <x:c r="H172" s="8" t="n">
        <x:v>269922.24</x:v>
      </x:c>
      <x:c r="I172" t="str">
        <x:v>2026-07-21</x:v>
      </x:c>
      <x:c r="J172" t="str">
        <x:v>2026-07-26</x:v>
      </x:c>
      <x:c r="K172" t="n">
        <x:v>5</x:v>
      </x:c>
      <x:c r="L172" t="str">
        <x:v>Partial</x:v>
      </x:c>
      <x:c r="M172" t="str">
        <x:v>Matched</x:v>
      </x:c>
    </x:row>
    <x:row r="173">
      <x:c r="A173" t="str">
        <x:v>PO500171</x:v>
      </x:c>
      <x:c r="B173" t="str">
        <x:v>2026-05-09</x:v>
      </x:c>
      <x:c r="C173" t="str">
        <x:v>V1016</x:v>
      </x:c>
      <x:c r="D173" t="str">
        <x:v>MAT2060</x:v>
      </x:c>
      <x:c r="E173" t="n">
        <x:v>141</x:v>
      </x:c>
      <x:c r="F173" t="n">
        <x:v>141</x:v>
      </x:c>
      <x:c r="G173" s="8" t="n">
        <x:v>2197.06</x:v>
      </x:c>
      <x:c r="H173" s="8" t="n">
        <x:v>309785.46</x:v>
      </x:c>
      <x:c r="I173" t="str">
        <x:v>2026-05-19</x:v>
      </x:c>
      <x:c r="J173" t="str">
        <x:v>2026-05-21</x:v>
      </x:c>
      <x:c r="K173" t="n">
        <x:v>2</x:v>
      </x:c>
      <x:c r="L173" t="str">
        <x:v>Complete</x:v>
      </x:c>
      <x:c r="M173" t="str">
        <x:v>Pending</x:v>
      </x:c>
    </x:row>
    <x:row r="174">
      <x:c r="A174" t="str">
        <x:v>PO500172</x:v>
      </x:c>
      <x:c r="B174" t="str">
        <x:v>2026-04-07</x:v>
      </x:c>
      <x:c r="C174" t="str">
        <x:v>V1013</x:v>
      </x:c>
      <x:c r="D174" t="str">
        <x:v>MAT2005</x:v>
      </x:c>
      <x:c r="E174" t="n">
        <x:v>9</x:v>
      </x:c>
      <x:c r="F174" t="n">
        <x:v>9</x:v>
      </x:c>
      <x:c r="G174" s="8" t="n">
        <x:v>1551.21</x:v>
      </x:c>
      <x:c r="H174" s="8" t="n">
        <x:v>13960.89</x:v>
      </x:c>
      <x:c r="I174" t="str">
        <x:v>2026-04-23</x:v>
      </x:c>
      <x:c r="J174" t="str">
        <x:v>2026-04-24</x:v>
      </x:c>
      <x:c r="K174" t="n">
        <x:v>1</x:v>
      </x:c>
      <x:c r="L174" t="str">
        <x:v>Complete</x:v>
      </x:c>
      <x:c r="M174" t="str">
        <x:v>Matched</x:v>
      </x:c>
    </x:row>
    <x:row r="175">
      <x:c r="A175" t="str">
        <x:v>PO500173</x:v>
      </x:c>
      <x:c r="B175" t="str">
        <x:v>2026-02-05</x:v>
      </x:c>
      <x:c r="C175" t="str">
        <x:v>V1021</x:v>
      </x:c>
      <x:c r="D175" t="str">
        <x:v>MAT2016</x:v>
      </x:c>
      <x:c r="E175" t="n">
        <x:v>412</x:v>
      </x:c>
      <x:c r="F175" t="n">
        <x:v>412</x:v>
      </x:c>
      <x:c r="G175" s="8" t="n">
        <x:v>491.35</x:v>
      </x:c>
      <x:c r="H175" s="8" t="n">
        <x:v>202436.2</x:v>
      </x:c>
      <x:c r="I175" t="str">
        <x:v>2026-02-20</x:v>
      </x:c>
      <x:c r="J175" t="str">
        <x:v>2026-02-20</x:v>
      </x:c>
      <x:c r="K175" t="n">
        <x:v>0</x:v>
      </x:c>
      <x:c r="L175" t="str">
        <x:v>Complete</x:v>
      </x:c>
      <x:c r="M175" t="str">
        <x:v>Matched</x:v>
      </x:c>
    </x:row>
    <x:row r="176">
      <x:c r="A176" t="str">
        <x:v>PO500174</x:v>
      </x:c>
      <x:c r="B176" t="str">
        <x:v>2026-04-23</x:v>
      </x:c>
      <x:c r="C176" t="str">
        <x:v>V1011</x:v>
      </x:c>
      <x:c r="D176" t="str">
        <x:v>MAT2003</x:v>
      </x:c>
      <x:c r="E176" t="n">
        <x:v>109</x:v>
      </x:c>
      <x:c r="F176" t="n">
        <x:v>109</x:v>
      </x:c>
      <x:c r="G176" s="8" t="n">
        <x:v>2280.81</x:v>
      </x:c>
      <x:c r="H176" s="8" t="n">
        <x:v>248608.29</x:v>
      </x:c>
      <x:c r="I176" t="str">
        <x:v>2026-05-09</x:v>
      </x:c>
      <x:c r="J176" t="str">
        <x:v>2026-05-09</x:v>
      </x:c>
      <x:c r="K176" t="n">
        <x:v>0</x:v>
      </x:c>
      <x:c r="L176" t="str">
        <x:v>Complete</x:v>
      </x:c>
      <x:c r="M176" t="str">
        <x:v>Matched</x:v>
      </x:c>
    </x:row>
    <x:row r="177">
      <x:c r="A177" t="str">
        <x:v>PO500175</x:v>
      </x:c>
      <x:c r="B177" t="str">
        <x:v>2026-03-28</x:v>
      </x:c>
      <x:c r="C177" t="str">
        <x:v>V1027</x:v>
      </x:c>
      <x:c r="D177" t="str">
        <x:v>MAT2000</x:v>
      </x:c>
      <x:c r="E177" t="n">
        <x:v>447</x:v>
      </x:c>
      <x:c r="F177" t="n">
        <x:v>447</x:v>
      </x:c>
      <x:c r="G177" s="8" t="n">
        <x:v>1758.95</x:v>
      </x:c>
      <x:c r="H177" s="8" t="n">
        <x:v>786250.65</x:v>
      </x:c>
      <x:c r="I177" t="str">
        <x:v>2026-04-08</x:v>
      </x:c>
      <x:c r="J177" t="str">
        <x:v>2026-04-09</x:v>
      </x:c>
      <x:c r="K177" t="n">
        <x:v>1</x:v>
      </x:c>
      <x:c r="L177" t="str">
        <x:v>Complete</x:v>
      </x:c>
      <x:c r="M177" t="str">
        <x:v>Mismatch</x:v>
      </x:c>
    </x:row>
    <x:row r="178">
      <x:c r="A178" t="str">
        <x:v>PO500176</x:v>
      </x:c>
      <x:c r="B178" t="str">
        <x:v>2026-05-10</x:v>
      </x:c>
      <x:c r="C178" t="str">
        <x:v>V1004</x:v>
      </x:c>
      <x:c r="D178" t="str">
        <x:v>MAT2020</x:v>
      </x:c>
      <x:c r="E178" t="n">
        <x:v>67</x:v>
      </x:c>
      <x:c r="F178" t="n">
        <x:v>66</x:v>
      </x:c>
      <x:c r="G178" s="8" t="n">
        <x:v>2376.81</x:v>
      </x:c>
      <x:c r="H178" s="8" t="n">
        <x:v>159246.27</x:v>
      </x:c>
      <x:c r="I178" t="str">
        <x:v>2026-05-14</x:v>
      </x:c>
      <x:c r="J178" t="str">
        <x:v>2026-05-14</x:v>
      </x:c>
      <x:c r="K178" t="n">
        <x:v>0</x:v>
      </x:c>
      <x:c r="L178" t="str">
        <x:v>Partial</x:v>
      </x:c>
      <x:c r="M178" t="str">
        <x:v>Mismatch</x:v>
      </x:c>
    </x:row>
    <x:row r="179">
      <x:c r="A179" t="str">
        <x:v>PO500177</x:v>
      </x:c>
      <x:c r="B179" t="str">
        <x:v>2026-02-10</x:v>
      </x:c>
      <x:c r="C179" t="str">
        <x:v>V1000</x:v>
      </x:c>
      <x:c r="D179" t="str">
        <x:v>MAT2060</x:v>
      </x:c>
      <x:c r="E179" t="n">
        <x:v>319</x:v>
      </x:c>
      <x:c r="F179" t="n">
        <x:v>319</x:v>
      </x:c>
      <x:c r="G179" s="8" t="n">
        <x:v>357.41</x:v>
      </x:c>
      <x:c r="H179" s="8" t="n">
        <x:v>114013.79</x:v>
      </x:c>
      <x:c r="I179" t="str">
        <x:v>2026-02-20</x:v>
      </x:c>
      <x:c r="J179" t="str">
        <x:v>2026-02-20</x:v>
      </x:c>
      <x:c r="K179" t="n">
        <x:v>0</x:v>
      </x:c>
      <x:c r="L179" t="str">
        <x:v>Complete</x:v>
      </x:c>
      <x:c r="M179" t="str">
        <x:v>Mismatch</x:v>
      </x:c>
    </x:row>
    <x:row r="180">
      <x:c r="A180" t="str">
        <x:v>PO500178</x:v>
      </x:c>
      <x:c r="B180" t="str">
        <x:v>2026-07-13</x:v>
      </x:c>
      <x:c r="C180" t="str">
        <x:v>V1020</x:v>
      </x:c>
      <x:c r="D180" t="str">
        <x:v>MAT2040</x:v>
      </x:c>
      <x:c r="E180" t="n">
        <x:v>174</x:v>
      </x:c>
      <x:c r="F180" t="n">
        <x:v>174</x:v>
      </x:c>
      <x:c r="G180" s="8" t="n">
        <x:v>1969.63</x:v>
      </x:c>
      <x:c r="H180" s="8" t="n">
        <x:v>342715.62</x:v>
      </x:c>
      <x:c r="I180" t="str">
        <x:v>2026-07-27</x:v>
      </x:c>
      <x:c r="J180" t="str">
        <x:v>2026-07-27</x:v>
      </x:c>
      <x:c r="K180" t="n">
        <x:v>0</x:v>
      </x:c>
      <x:c r="L180" t="str">
        <x:v>Complete</x:v>
      </x:c>
      <x:c r="M180" t="str">
        <x:v>Matched</x:v>
      </x:c>
    </x:row>
    <x:row r="181">
      <x:c r="A181" t="str">
        <x:v>PO500179</x:v>
      </x:c>
      <x:c r="B181" t="str">
        <x:v>2026-03-19</x:v>
      </x:c>
      <x:c r="C181" t="str">
        <x:v>V1031</x:v>
      </x:c>
      <x:c r="D181" t="str">
        <x:v>MAT2057</x:v>
      </x:c>
      <x:c r="E181" t="n">
        <x:v>25</x:v>
      </x:c>
      <x:c r="F181" t="n">
        <x:v>23</x:v>
      </x:c>
      <x:c r="G181" s="8" t="n">
        <x:v>297.97</x:v>
      </x:c>
      <x:c r="H181" s="8" t="n">
        <x:v>7449.25</x:v>
      </x:c>
      <x:c r="I181" t="str">
        <x:v>2026-04-06</x:v>
      </x:c>
      <x:c r="J181" t="str">
        <x:v>2026-04-06</x:v>
      </x:c>
      <x:c r="K181" t="n">
        <x:v>0</x:v>
      </x:c>
      <x:c r="L181" t="str">
        <x:v>Partial</x:v>
      </x:c>
      <x:c r="M181" t="str">
        <x:v>Pending</x:v>
      </x:c>
    </x:row>
    <x:row r="182">
      <x:c r="A182" t="str">
        <x:v>PO500180</x:v>
      </x:c>
      <x:c r="B182" t="str">
        <x:v>2026-03-16</x:v>
      </x:c>
      <x:c r="C182" t="str">
        <x:v>V1022</x:v>
      </x:c>
      <x:c r="D182" t="str">
        <x:v>MAT2050</x:v>
      </x:c>
      <x:c r="E182" t="n">
        <x:v>203</x:v>
      </x:c>
      <x:c r="F182" t="n">
        <x:v>203</x:v>
      </x:c>
      <x:c r="G182" s="8" t="n">
        <x:v>836.89</x:v>
      </x:c>
      <x:c r="H182" s="8" t="n">
        <x:v>169888.67</x:v>
      </x:c>
      <x:c r="I182" t="str">
        <x:v>2026-03-20</x:v>
      </x:c>
      <x:c r="J182" t="str">
        <x:v>2026-03-22</x:v>
      </x:c>
      <x:c r="K182" t="n">
        <x:v>2</x:v>
      </x:c>
      <x:c r="L182" t="str">
        <x:v>Complete</x:v>
      </x:c>
      <x:c r="M182" t="str">
        <x:v>Matched</x:v>
      </x:c>
    </x:row>
    <x:row r="183">
      <x:c r="A183" t="str">
        <x:v>PO500181</x:v>
      </x:c>
      <x:c r="B183" t="str">
        <x:v>2026-04-04</x:v>
      </x:c>
      <x:c r="C183" t="str">
        <x:v>V1009</x:v>
      </x:c>
      <x:c r="D183" t="str">
        <x:v>MAT2043</x:v>
      </x:c>
      <x:c r="E183" t="n">
        <x:v>116</x:v>
      </x:c>
      <x:c r="F183" t="n">
        <x:v>116</x:v>
      </x:c>
      <x:c r="G183" s="8" t="n">
        <x:v>375.25</x:v>
      </x:c>
      <x:c r="H183" s="8" t="n">
        <x:v>43529</x:v>
      </x:c>
      <x:c r="I183" t="str">
        <x:v>2026-04-07</x:v>
      </x:c>
      <x:c r="J183" t="str">
        <x:v>2026-04-07</x:v>
      </x:c>
      <x:c r="K183" t="n">
        <x:v>0</x:v>
      </x:c>
      <x:c r="L183" t="str">
        <x:v>Complete</x:v>
      </x:c>
      <x:c r="M183" t="str">
        <x:v>Pending</x:v>
      </x:c>
    </x:row>
    <x:row r="184">
      <x:c r="A184" t="str">
        <x:v>PO500182</x:v>
      </x:c>
      <x:c r="B184" t="str">
        <x:v>2026-07-05</x:v>
      </x:c>
      <x:c r="C184" t="str">
        <x:v>V1016</x:v>
      </x:c>
      <x:c r="D184" t="str">
        <x:v>MAT2055</x:v>
      </x:c>
      <x:c r="E184" t="n">
        <x:v>353</x:v>
      </x:c>
      <x:c r="F184" t="n">
        <x:v>342</x:v>
      </x:c>
      <x:c r="G184" s="8" t="n">
        <x:v>190.7</x:v>
      </x:c>
      <x:c r="H184" s="8" t="n">
        <x:v>67317.1</x:v>
      </x:c>
      <x:c r="I184" t="str">
        <x:v>2026-07-15</x:v>
      </x:c>
      <x:c r="J184" t="str">
        <x:v>2026-07-16</x:v>
      </x:c>
      <x:c r="K184" t="n">
        <x:v>1</x:v>
      </x:c>
      <x:c r="L184" t="str">
        <x:v>Partial</x:v>
      </x:c>
      <x:c r="M184" t="str">
        <x:v>Pending</x:v>
      </x:c>
    </x:row>
    <x:row r="185">
      <x:c r="A185" t="str">
        <x:v>PO500183</x:v>
      </x:c>
      <x:c r="B185" t="str">
        <x:v>2026-03-15</x:v>
      </x:c>
      <x:c r="C185" t="str">
        <x:v>V1023</x:v>
      </x:c>
      <x:c r="D185" t="str">
        <x:v>MAT2061</x:v>
      </x:c>
      <x:c r="E185" t="n">
        <x:v>343</x:v>
      </x:c>
      <x:c r="F185" t="n">
        <x:v>343</x:v>
      </x:c>
      <x:c r="G185" s="8" t="n">
        <x:v>150.8</x:v>
      </x:c>
      <x:c r="H185" s="8" t="n">
        <x:v>51724.4</x:v>
      </x:c>
      <x:c r="I185" t="str">
        <x:v>2026-04-03</x:v>
      </x:c>
      <x:c r="J185" t="str">
        <x:v>2026-04-03</x:v>
      </x:c>
      <x:c r="K185" t="n">
        <x:v>0</x:v>
      </x:c>
      <x:c r="L185" t="str">
        <x:v>Complete</x:v>
      </x:c>
      <x:c r="M185" t="str">
        <x:v>Mismatch</x:v>
      </x:c>
    </x:row>
    <x:row r="186">
      <x:c r="A186" t="str">
        <x:v>PO500184</x:v>
      </x:c>
      <x:c r="B186" t="str">
        <x:v>2026-06-07</x:v>
      </x:c>
      <x:c r="C186" t="str">
        <x:v>V1015</x:v>
      </x:c>
      <x:c r="D186" t="str">
        <x:v>MAT2011</x:v>
      </x:c>
      <x:c r="E186" t="n">
        <x:v>75</x:v>
      </x:c>
      <x:c r="F186" t="n">
        <x:v>75</x:v>
      </x:c>
      <x:c r="G186" s="8" t="n">
        <x:v>1184.88</x:v>
      </x:c>
      <x:c r="H186" s="8" t="n">
        <x:v>88866</x:v>
      </x:c>
      <x:c r="I186" t="str">
        <x:v>2026-06-16</x:v>
      </x:c>
      <x:c r="J186" t="str">
        <x:v>2026-06-16</x:v>
      </x:c>
      <x:c r="K186" t="n">
        <x:v>0</x:v>
      </x:c>
      <x:c r="L186" t="str">
        <x:v>Complete</x:v>
      </x:c>
      <x:c r="M186" t="str">
        <x:v>Matched</x:v>
      </x:c>
    </x:row>
    <x:row r="187">
      <x:c r="A187" t="str">
        <x:v>PO500185</x:v>
      </x:c>
      <x:c r="B187" t="str">
        <x:v>2026-04-14</x:v>
      </x:c>
      <x:c r="C187" t="str">
        <x:v>V1023</x:v>
      </x:c>
      <x:c r="D187" t="str">
        <x:v>MAT2033</x:v>
      </x:c>
      <x:c r="E187" t="n">
        <x:v>416</x:v>
      </x:c>
      <x:c r="F187" t="n">
        <x:v>416</x:v>
      </x:c>
      <x:c r="G187" s="8" t="n">
        <x:v>1626.46</x:v>
      </x:c>
      <x:c r="H187" s="8" t="n">
        <x:v>676607.36</x:v>
      </x:c>
      <x:c r="I187" t="str">
        <x:v>2026-04-19</x:v>
      </x:c>
      <x:c r="J187" t="str">
        <x:v>2026-04-19</x:v>
      </x:c>
      <x:c r="K187" t="n">
        <x:v>0</x:v>
      </x:c>
      <x:c r="L187" t="str">
        <x:v>Complete</x:v>
      </x:c>
      <x:c r="M187" t="str">
        <x:v>Matched</x:v>
      </x:c>
    </x:row>
    <x:row r="188">
      <x:c r="A188" t="str">
        <x:v>PO500186</x:v>
      </x:c>
      <x:c r="B188" t="str">
        <x:v>2026-06-05</x:v>
      </x:c>
      <x:c r="C188" t="str">
        <x:v>V1029</x:v>
      </x:c>
      <x:c r="D188" t="str">
        <x:v>MAT2066</x:v>
      </x:c>
      <x:c r="E188" t="n">
        <x:v>49</x:v>
      </x:c>
      <x:c r="F188" t="n">
        <x:v>49</x:v>
      </x:c>
      <x:c r="G188" s="8" t="n">
        <x:v>998.3</x:v>
      </x:c>
      <x:c r="H188" s="8" t="n">
        <x:v>48916.7</x:v>
      </x:c>
      <x:c r="I188" t="str">
        <x:v>2026-06-15</x:v>
      </x:c>
      <x:c r="J188" t="str">
        <x:v>2026-06-15</x:v>
      </x:c>
      <x:c r="K188" t="n">
        <x:v>0</x:v>
      </x:c>
      <x:c r="L188" t="str">
        <x:v>Complete</x:v>
      </x:c>
      <x:c r="M188" t="str">
        <x:v>Mismatch</x:v>
      </x:c>
    </x:row>
    <x:row r="189">
      <x:c r="A189" t="str">
        <x:v>PO500187</x:v>
      </x:c>
      <x:c r="B189" t="str">
        <x:v>2026-02-17</x:v>
      </x:c>
      <x:c r="C189" t="str">
        <x:v>V1033</x:v>
      </x:c>
      <x:c r="D189" t="str">
        <x:v>MAT2047</x:v>
      </x:c>
      <x:c r="E189" t="n">
        <x:v>190</x:v>
      </x:c>
      <x:c r="F189" t="n">
        <x:v>190</x:v>
      </x:c>
      <x:c r="G189" s="8" t="n">
        <x:v>460.2</x:v>
      </x:c>
      <x:c r="H189" s="8" t="n">
        <x:v>87438</x:v>
      </x:c>
      <x:c r="I189" t="str">
        <x:v>2026-02-26</x:v>
      </x:c>
      <x:c r="J189" t="str">
        <x:v>2026-02-26</x:v>
      </x:c>
      <x:c r="K189" t="n">
        <x:v>0</x:v>
      </x:c>
      <x:c r="L189" t="str">
        <x:v>Complete</x:v>
      </x:c>
      <x:c r="M189" t="str">
        <x:v>Pending</x:v>
      </x:c>
    </x:row>
    <x:row r="190">
      <x:c r="A190" t="str">
        <x:v>PO500188</x:v>
      </x:c>
      <x:c r="B190" t="str">
        <x:v>2026-07-05</x:v>
      </x:c>
      <x:c r="C190" t="str">
        <x:v>V1027</x:v>
      </x:c>
      <x:c r="D190" t="str">
        <x:v>MAT2071</x:v>
      </x:c>
      <x:c r="E190" t="n">
        <x:v>77</x:v>
      </x:c>
      <x:c r="F190" t="n">
        <x:v>77</x:v>
      </x:c>
      <x:c r="G190" s="8" t="n">
        <x:v>1244.73</x:v>
      </x:c>
      <x:c r="H190" s="8" t="n">
        <x:v>95844.21</x:v>
      </x:c>
      <x:c r="I190" t="str">
        <x:v>2026-07-19</x:v>
      </x:c>
      <x:c r="J190" t="str">
        <x:v>2026-07-19</x:v>
      </x:c>
      <x:c r="K190" t="n">
        <x:v>0</x:v>
      </x:c>
      <x:c r="L190" t="str">
        <x:v>Complete</x:v>
      </x:c>
      <x:c r="M190" t="str">
        <x:v>Matched</x:v>
      </x:c>
    </x:row>
    <x:row r="191">
      <x:c r="A191" t="str">
        <x:v>PO500189</x:v>
      </x:c>
      <x:c r="B191" t="str">
        <x:v>2026-01-08</x:v>
      </x:c>
      <x:c r="C191" t="str">
        <x:v>V1024</x:v>
      </x:c>
      <x:c r="D191" t="str">
        <x:v>MAT2078</x:v>
      </x:c>
      <x:c r="E191" t="n">
        <x:v>119</x:v>
      </x:c>
      <x:c r="F191" t="n">
        <x:v>119</x:v>
      </x:c>
      <x:c r="G191" s="8" t="n">
        <x:v>2387.1</x:v>
      </x:c>
      <x:c r="H191" s="8" t="n">
        <x:v>284064.9</x:v>
      </x:c>
      <x:c r="I191" t="str">
        <x:v>2026-01-13</x:v>
      </x:c>
      <x:c r="J191" t="str">
        <x:v>2026-01-13</x:v>
      </x:c>
      <x:c r="K191" t="n">
        <x:v>0</x:v>
      </x:c>
      <x:c r="L191" t="str">
        <x:v>Complete</x:v>
      </x:c>
      <x:c r="M191" t="str">
        <x:v>Matched</x:v>
      </x:c>
    </x:row>
    <x:row r="192">
      <x:c r="A192" t="str">
        <x:v>PO500190</x:v>
      </x:c>
      <x:c r="B192" t="str">
        <x:v>2026-02-28</x:v>
      </x:c>
      <x:c r="C192" t="str">
        <x:v>V1011</x:v>
      </x:c>
      <x:c r="D192" t="str">
        <x:v>MAT2002</x:v>
      </x:c>
      <x:c r="E192" t="n">
        <x:v>61</x:v>
      </x:c>
      <x:c r="F192" t="n">
        <x:v>61</x:v>
      </x:c>
      <x:c r="G192" s="8" t="n">
        <x:v>2342.18</x:v>
      </x:c>
      <x:c r="H192" s="8" t="n">
        <x:v>142872.98</x:v>
      </x:c>
      <x:c r="I192" t="str">
        <x:v>2026-03-16</x:v>
      </x:c>
      <x:c r="J192" t="str">
        <x:v>2026-03-19</x:v>
      </x:c>
      <x:c r="K192" t="n">
        <x:v>3</x:v>
      </x:c>
      <x:c r="L192" t="str">
        <x:v>Complete</x:v>
      </x:c>
      <x:c r="M192" t="str">
        <x:v>Mismatch</x:v>
      </x:c>
    </x:row>
    <x:row r="193">
      <x:c r="A193" t="str">
        <x:v>PO500191</x:v>
      </x:c>
      <x:c r="B193" t="str">
        <x:v>2026-03-01</x:v>
      </x:c>
      <x:c r="C193" t="str">
        <x:v>V1019</x:v>
      </x:c>
      <x:c r="D193" t="str">
        <x:v>MAT2041</x:v>
      </x:c>
      <x:c r="E193" t="n">
        <x:v>98</x:v>
      </x:c>
      <x:c r="F193" t="n">
        <x:v>98</x:v>
      </x:c>
      <x:c r="G193" s="8" t="n">
        <x:v>89.77</x:v>
      </x:c>
      <x:c r="H193" s="8" t="n">
        <x:v>8797.46</x:v>
      </x:c>
      <x:c r="I193" t="str">
        <x:v>2026-03-15</x:v>
      </x:c>
      <x:c r="J193" t="str">
        <x:v>2026-03-15</x:v>
      </x:c>
      <x:c r="K193" t="n">
        <x:v>0</x:v>
      </x:c>
      <x:c r="L193" t="str">
        <x:v>Complete</x:v>
      </x:c>
      <x:c r="M193" t="str">
        <x:v>Pending</x:v>
      </x:c>
    </x:row>
    <x:row r="194">
      <x:c r="A194" t="str">
        <x:v>PO500192</x:v>
      </x:c>
      <x:c r="B194" t="str">
        <x:v>2026-05-04</x:v>
      </x:c>
      <x:c r="C194" t="str">
        <x:v>V1020</x:v>
      </x:c>
      <x:c r="D194" t="str">
        <x:v>MAT2044</x:v>
      </x:c>
      <x:c r="E194" t="n">
        <x:v>377</x:v>
      </x:c>
      <x:c r="F194" t="n">
        <x:v>377</x:v>
      </x:c>
      <x:c r="G194" s="8" t="n">
        <x:v>1363.95</x:v>
      </x:c>
      <x:c r="H194" s="8" t="n">
        <x:v>514209.15</x:v>
      </x:c>
      <x:c r="I194" t="str">
        <x:v>2026-05-21</x:v>
      </x:c>
      <x:c r="J194" t="str">
        <x:v>2026-05-21</x:v>
      </x:c>
      <x:c r="K194" t="n">
        <x:v>0</x:v>
      </x:c>
      <x:c r="L194" t="str">
        <x:v>Complete</x:v>
      </x:c>
      <x:c r="M194" t="str">
        <x:v>Matched</x:v>
      </x:c>
    </x:row>
    <x:row r="195">
      <x:c r="A195" t="str">
        <x:v>PO500193</x:v>
      </x:c>
      <x:c r="B195" t="str">
        <x:v>2026-02-17</x:v>
      </x:c>
      <x:c r="C195" t="str">
        <x:v>V1001</x:v>
      </x:c>
      <x:c r="D195" t="str">
        <x:v>MAT2078</x:v>
      </x:c>
      <x:c r="E195" t="n">
        <x:v>247</x:v>
      </x:c>
      <x:c r="F195" t="n">
        <x:v>247</x:v>
      </x:c>
      <x:c r="G195" s="8" t="n">
        <x:v>1350.66</x:v>
      </x:c>
      <x:c r="H195" s="8" t="n">
        <x:v>333613.02</x:v>
      </x:c>
      <x:c r="I195" t="str">
        <x:v>2026-02-24</x:v>
      </x:c>
      <x:c r="J195" t="str">
        <x:v>2026-02-24</x:v>
      </x:c>
      <x:c r="K195" t="n">
        <x:v>0</x:v>
      </x:c>
      <x:c r="L195" t="str">
        <x:v>Complete</x:v>
      </x:c>
      <x:c r="M195" t="str">
        <x:v>Matched</x:v>
      </x:c>
    </x:row>
    <x:row r="196">
      <x:c r="A196" t="str">
        <x:v>PO500194</x:v>
      </x:c>
      <x:c r="B196" t="str">
        <x:v>2026-03-21</x:v>
      </x:c>
      <x:c r="C196" t="str">
        <x:v>V1030</x:v>
      </x:c>
      <x:c r="D196" t="str">
        <x:v>MAT2075</x:v>
      </x:c>
      <x:c r="E196" t="n">
        <x:v>156</x:v>
      </x:c>
      <x:c r="F196" t="n">
        <x:v>156</x:v>
      </x:c>
      <x:c r="G196" s="8" t="n">
        <x:v>351.09</x:v>
      </x:c>
      <x:c r="H196" s="8" t="n">
        <x:v>54770.04</x:v>
      </x:c>
      <x:c r="I196" t="str">
        <x:v>2026-03-26</x:v>
      </x:c>
      <x:c r="J196" t="str">
        <x:v>2026-03-26</x:v>
      </x:c>
      <x:c r="K196" t="n">
        <x:v>0</x:v>
      </x:c>
      <x:c r="L196" t="str">
        <x:v>Complete</x:v>
      </x:c>
      <x:c r="M196" t="str">
        <x:v>Matched</x:v>
      </x:c>
    </x:row>
    <x:row r="197">
      <x:c r="A197" t="str">
        <x:v>PO500195</x:v>
      </x:c>
      <x:c r="B197" t="str">
        <x:v>2026-03-14</x:v>
      </x:c>
      <x:c r="C197" t="str">
        <x:v>V1034</x:v>
      </x:c>
      <x:c r="D197" t="str">
        <x:v>MAT2073</x:v>
      </x:c>
      <x:c r="E197" t="n">
        <x:v>447</x:v>
      </x:c>
      <x:c r="F197" t="n">
        <x:v>418</x:v>
      </x:c>
      <x:c r="G197" s="8" t="n">
        <x:v>683.78</x:v>
      </x:c>
      <x:c r="H197" s="8" t="n">
        <x:v>305649.66</x:v>
      </x:c>
      <x:c r="I197" t="str">
        <x:v>2026-03-30</x:v>
      </x:c>
      <x:c r="J197" t="str">
        <x:v>2026-03-30</x:v>
      </x:c>
      <x:c r="K197" t="n">
        <x:v>0</x:v>
      </x:c>
      <x:c r="L197" t="str">
        <x:v>Partial</x:v>
      </x:c>
      <x:c r="M197" t="str">
        <x:v>Pending</x:v>
      </x:c>
    </x:row>
    <x:row r="198">
      <x:c r="A198" t="str">
        <x:v>PO500196</x:v>
      </x:c>
      <x:c r="B198" t="str">
        <x:v>2026-08-11</x:v>
      </x:c>
      <x:c r="C198" t="str">
        <x:v>V1009</x:v>
      </x:c>
      <x:c r="D198" t="str">
        <x:v>MAT2042</x:v>
      </x:c>
      <x:c r="E198" t="n">
        <x:v>363</x:v>
      </x:c>
      <x:c r="F198" t="n">
        <x:v>363</x:v>
      </x:c>
      <x:c r="G198" s="8" t="n">
        <x:v>295.34</x:v>
      </x:c>
      <x:c r="H198" s="8" t="n">
        <x:v>107208.42</x:v>
      </x:c>
      <x:c r="I198" t="str">
        <x:v>2026-08-16</x:v>
      </x:c>
      <x:c r="J198" t="str">
        <x:v>2026-08-16</x:v>
      </x:c>
      <x:c r="K198" t="n">
        <x:v>0</x:v>
      </x:c>
      <x:c r="L198" t="str">
        <x:v>Complete</x:v>
      </x:c>
      <x:c r="M198" t="str">
        <x:v>Mismatch</x:v>
      </x:c>
    </x:row>
    <x:row r="199">
      <x:c r="A199" t="str">
        <x:v>PO500197</x:v>
      </x:c>
      <x:c r="B199" t="str">
        <x:v>2026-08-11</x:v>
      </x:c>
      <x:c r="C199" t="str">
        <x:v>V1016</x:v>
      </x:c>
      <x:c r="D199" t="str">
        <x:v>MAT2062</x:v>
      </x:c>
      <x:c r="E199" t="n">
        <x:v>27</x:v>
      </x:c>
      <x:c r="F199" t="n">
        <x:v>27</x:v>
      </x:c>
      <x:c r="G199" s="8" t="n">
        <x:v>1574.02</x:v>
      </x:c>
      <x:c r="H199" s="8" t="n">
        <x:v>42498.54</x:v>
      </x:c>
      <x:c r="I199" t="str">
        <x:v>2026-08-15</x:v>
      </x:c>
      <x:c r="J199" t="str">
        <x:v>2026-08-16</x:v>
      </x:c>
      <x:c r="K199" t="n">
        <x:v>1</x:v>
      </x:c>
      <x:c r="L199" t="str">
        <x:v>Complete</x:v>
      </x:c>
      <x:c r="M199" t="str">
        <x:v>Matched</x:v>
      </x:c>
    </x:row>
    <x:row r="200">
      <x:c r="A200" t="str">
        <x:v>PO500198</x:v>
      </x:c>
      <x:c r="B200" t="str">
        <x:v>2026-07-10</x:v>
      </x:c>
      <x:c r="C200" t="str">
        <x:v>V1032</x:v>
      </x:c>
      <x:c r="D200" t="str">
        <x:v>MAT2033</x:v>
      </x:c>
      <x:c r="E200" t="n">
        <x:v>11</x:v>
      </x:c>
      <x:c r="F200" t="n">
        <x:v>10</x:v>
      </x:c>
      <x:c r="G200" s="8" t="n">
        <x:v>2188.37</x:v>
      </x:c>
      <x:c r="H200" s="8" t="n">
        <x:v>24072.07</x:v>
      </x:c>
      <x:c r="I200" t="str">
        <x:v>2026-07-19</x:v>
      </x:c>
      <x:c r="J200" t="str">
        <x:v>2026-07-19</x:v>
      </x:c>
      <x:c r="K200" t="n">
        <x:v>0</x:v>
      </x:c>
      <x:c r="L200" t="str">
        <x:v>Partial</x:v>
      </x:c>
      <x:c r="M200" t="str">
        <x:v>Matched</x:v>
      </x:c>
    </x:row>
    <x:row r="201">
      <x:c r="A201" t="str">
        <x:v>PO500199</x:v>
      </x:c>
      <x:c r="B201" t="str">
        <x:v>2026-08-17</x:v>
      </x:c>
      <x:c r="C201" t="str">
        <x:v>V1007</x:v>
      </x:c>
      <x:c r="D201" t="str">
        <x:v>MAT2022</x:v>
      </x:c>
      <x:c r="E201" t="n">
        <x:v>52</x:v>
      </x:c>
      <x:c r="F201" t="n">
        <x:v>52</x:v>
      </x:c>
      <x:c r="G201" s="8" t="n">
        <x:v>463.28</x:v>
      </x:c>
      <x:c r="H201" s="8" t="n">
        <x:v>24090.56</x:v>
      </x:c>
      <x:c r="I201" t="str">
        <x:v>2026-09-03</x:v>
      </x:c>
      <x:c r="J201" t="str">
        <x:v>2026-09-03</x:v>
      </x:c>
      <x:c r="K201" t="n">
        <x:v>0</x:v>
      </x:c>
      <x:c r="L201" t="str">
        <x:v>Complete</x:v>
      </x:c>
      <x:c r="M201" t="str">
        <x:v>Matched</x:v>
      </x:c>
    </x:row>
    <x:row r="202">
      <x:c r="A202" t="str">
        <x:v>PO500200</x:v>
      </x:c>
      <x:c r="B202" t="str">
        <x:v>2026-07-23</x:v>
      </x:c>
      <x:c r="C202" t="str">
        <x:v>V1002</x:v>
      </x:c>
      <x:c r="D202" t="str">
        <x:v>MAT2077</x:v>
      </x:c>
      <x:c r="E202" t="n">
        <x:v>8</x:v>
      </x:c>
      <x:c r="F202" t="n">
        <x:v>8</x:v>
      </x:c>
      <x:c r="G202" s="8" t="n">
        <x:v>1782.78</x:v>
      </x:c>
      <x:c r="H202" s="8" t="n">
        <x:v>14262.24</x:v>
      </x:c>
      <x:c r="I202" t="str">
        <x:v>2026-07-26</x:v>
      </x:c>
      <x:c r="J202" t="str">
        <x:v>2026-07-26</x:v>
      </x:c>
      <x:c r="K202" t="n">
        <x:v>0</x:v>
      </x:c>
      <x:c r="L202" t="str">
        <x:v>Complete</x:v>
      </x:c>
      <x:c r="M202" t="str">
        <x:v>Mismatch</x:v>
      </x:c>
    </x:row>
    <x:row r="203">
      <x:c r="A203" t="str">
        <x:v>PO500201</x:v>
      </x:c>
      <x:c r="B203" t="str">
        <x:v>2026-06-19</x:v>
      </x:c>
      <x:c r="C203" t="str">
        <x:v>V1015</x:v>
      </x:c>
      <x:c r="D203" t="str">
        <x:v>MAT2030</x:v>
      </x:c>
      <x:c r="E203" t="n">
        <x:v>491</x:v>
      </x:c>
      <x:c r="F203" t="n">
        <x:v>491</x:v>
      </x:c>
      <x:c r="G203" s="8" t="n">
        <x:v>34.23</x:v>
      </x:c>
      <x:c r="H203" s="8" t="n">
        <x:v>16806.93</x:v>
      </x:c>
      <x:c r="I203" t="str">
        <x:v>2026-06-22</x:v>
      </x:c>
      <x:c r="J203" t="str">
        <x:v>2026-06-22</x:v>
      </x:c>
      <x:c r="K203" t="n">
        <x:v>0</x:v>
      </x:c>
      <x:c r="L203" t="str">
        <x:v>Complete</x:v>
      </x:c>
      <x:c r="M203" t="str">
        <x:v>Matched</x:v>
      </x:c>
    </x:row>
    <x:row r="204">
      <x:c r="A204" t="str">
        <x:v>PO500202</x:v>
      </x:c>
      <x:c r="B204" t="str">
        <x:v>2026-03-27</x:v>
      </x:c>
      <x:c r="C204" t="str">
        <x:v>V1033</x:v>
      </x:c>
      <x:c r="D204" t="str">
        <x:v>MAT2049</x:v>
      </x:c>
      <x:c r="E204" t="n">
        <x:v>421</x:v>
      </x:c>
      <x:c r="F204" t="n">
        <x:v>421</x:v>
      </x:c>
      <x:c r="G204" s="8" t="n">
        <x:v>954.34</x:v>
      </x:c>
      <x:c r="H204" s="8" t="n">
        <x:v>401777.14</x:v>
      </x:c>
      <x:c r="I204" t="str">
        <x:v>2026-03-31</x:v>
      </x:c>
      <x:c r="J204" t="str">
        <x:v>2026-03-31</x:v>
      </x:c>
      <x:c r="K204" t="n">
        <x:v>0</x:v>
      </x:c>
      <x:c r="L204" t="str">
        <x:v>Complete</x:v>
      </x:c>
      <x:c r="M204" t="str">
        <x:v>Pending</x:v>
      </x:c>
    </x:row>
    <x:row r="205">
      <x:c r="A205" t="str">
        <x:v>PO500203</x:v>
      </x:c>
      <x:c r="B205" t="str">
        <x:v>2026-07-22</x:v>
      </x:c>
      <x:c r="C205" t="str">
        <x:v>V1004</x:v>
      </x:c>
      <x:c r="D205" t="str">
        <x:v>MAT2039</x:v>
      </x:c>
      <x:c r="E205" t="n">
        <x:v>440</x:v>
      </x:c>
      <x:c r="F205" t="n">
        <x:v>440</x:v>
      </x:c>
      <x:c r="G205" s="8" t="n">
        <x:v>281.46</x:v>
      </x:c>
      <x:c r="H205" s="8" t="n">
        <x:v>123842.4</x:v>
      </x:c>
      <x:c r="I205" t="str">
        <x:v>2026-08-10</x:v>
      </x:c>
      <x:c r="J205" t="str">
        <x:v>2026-08-10</x:v>
      </x:c>
      <x:c r="K205" t="n">
        <x:v>0</x:v>
      </x:c>
      <x:c r="L205" t="str">
        <x:v>Complete</x:v>
      </x:c>
      <x:c r="M205" t="str">
        <x:v>Mismatch</x:v>
      </x:c>
    </x:row>
    <x:row r="206">
      <x:c r="A206" t="str">
        <x:v>PO500204</x:v>
      </x:c>
      <x:c r="B206" t="str">
        <x:v>2026-06-11</x:v>
      </x:c>
      <x:c r="C206" t="str">
        <x:v>V1011</x:v>
      </x:c>
      <x:c r="D206" t="str">
        <x:v>MAT2031</x:v>
      </x:c>
      <x:c r="E206" t="n">
        <x:v>172</x:v>
      </x:c>
      <x:c r="F206" t="n">
        <x:v>160</x:v>
      </x:c>
      <x:c r="G206" s="8" t="n">
        <x:v>1614.76</x:v>
      </x:c>
      <x:c r="H206" s="8" t="n">
        <x:v>277738.72</x:v>
      </x:c>
      <x:c r="I206" t="str">
        <x:v>2026-06-26</x:v>
      </x:c>
      <x:c r="J206" t="str">
        <x:v>2026-06-29</x:v>
      </x:c>
      <x:c r="K206" t="n">
        <x:v>3</x:v>
      </x:c>
      <x:c r="L206" t="str">
        <x:v>Partial</x:v>
      </x:c>
      <x:c r="M206" t="str">
        <x:v>Pending</x:v>
      </x:c>
    </x:row>
    <x:row r="207">
      <x:c r="A207" t="str">
        <x:v>PO500205</x:v>
      </x:c>
      <x:c r="B207" t="str">
        <x:v>2026-03-13</x:v>
      </x:c>
      <x:c r="C207" t="str">
        <x:v>V1018</x:v>
      </x:c>
      <x:c r="D207" t="str">
        <x:v>MAT2004</x:v>
      </x:c>
      <x:c r="E207" t="n">
        <x:v>355</x:v>
      </x:c>
      <x:c r="F207" t="n">
        <x:v>355</x:v>
      </x:c>
      <x:c r="G207" s="8" t="n">
        <x:v>2071.2</x:v>
      </x:c>
      <x:c r="H207" s="8" t="n">
        <x:v>735276</x:v>
      </x:c>
      <x:c r="I207" t="str">
        <x:v>2026-03-23</x:v>
      </x:c>
      <x:c r="J207" t="str">
        <x:v>2026-03-23</x:v>
      </x:c>
      <x:c r="K207" t="n">
        <x:v>0</x:v>
      </x:c>
      <x:c r="L207" t="str">
        <x:v>Complete</x:v>
      </x:c>
      <x:c r="M207" t="str">
        <x:v>Mismatch</x:v>
      </x:c>
    </x:row>
    <x:row r="208">
      <x:c r="A208" t="str">
        <x:v>PO500206</x:v>
      </x:c>
      <x:c r="B208" t="str">
        <x:v>2026-05-19</x:v>
      </x:c>
      <x:c r="C208" t="str">
        <x:v>V1003</x:v>
      </x:c>
      <x:c r="D208" t="str">
        <x:v>MAT2009</x:v>
      </x:c>
      <x:c r="E208" t="n">
        <x:v>142</x:v>
      </x:c>
      <x:c r="F208" t="n">
        <x:v>142</x:v>
      </x:c>
      <x:c r="G208" s="8" t="n">
        <x:v>2019.66</x:v>
      </x:c>
      <x:c r="H208" s="8" t="n">
        <x:v>286791.72</x:v>
      </x:c>
      <x:c r="I208" t="str">
        <x:v>2026-06-04</x:v>
      </x:c>
      <x:c r="J208" t="str">
        <x:v>2026-06-04</x:v>
      </x:c>
      <x:c r="K208" t="n">
        <x:v>0</x:v>
      </x:c>
      <x:c r="L208" t="str">
        <x:v>Complete</x:v>
      </x:c>
      <x:c r="M208" t="str">
        <x:v>Pending</x:v>
      </x:c>
    </x:row>
    <x:row r="209">
      <x:c r="A209" t="str">
        <x:v>PO500207</x:v>
      </x:c>
      <x:c r="B209" t="str">
        <x:v>2026-08-17</x:v>
      </x:c>
      <x:c r="C209" t="str">
        <x:v>V1009</x:v>
      </x:c>
      <x:c r="D209" t="str">
        <x:v>MAT2034</x:v>
      </x:c>
      <x:c r="E209" t="n">
        <x:v>301</x:v>
      </x:c>
      <x:c r="F209" t="n">
        <x:v>301</x:v>
      </x:c>
      <x:c r="G209" s="8" t="n">
        <x:v>975.66</x:v>
      </x:c>
      <x:c r="H209" s="8" t="n">
        <x:v>293673.66</x:v>
      </x:c>
      <x:c r="I209" t="str">
        <x:v>2026-09-05</x:v>
      </x:c>
      <x:c r="J209" t="str">
        <x:v>2026-09-05</x:v>
      </x:c>
      <x:c r="K209" t="n">
        <x:v>0</x:v>
      </x:c>
      <x:c r="L209" t="str">
        <x:v>Complete</x:v>
      </x:c>
      <x:c r="M209" t="str">
        <x:v>Matched</x:v>
      </x:c>
    </x:row>
    <x:row r="210">
      <x:c r="A210" t="str">
        <x:v>PO500208</x:v>
      </x:c>
      <x:c r="B210" t="str">
        <x:v>2026-07-04</x:v>
      </x:c>
      <x:c r="C210" t="str">
        <x:v>V1000</x:v>
      </x:c>
      <x:c r="D210" t="str">
        <x:v>MAT2074</x:v>
      </x:c>
      <x:c r="E210" t="n">
        <x:v>201</x:v>
      </x:c>
      <x:c r="F210" t="n">
        <x:v>200</x:v>
      </x:c>
      <x:c r="G210" s="8" t="n">
        <x:v>2306.11</x:v>
      </x:c>
      <x:c r="H210" s="8" t="n">
        <x:v>463528.11</x:v>
      </x:c>
      <x:c r="I210" t="str">
        <x:v>2026-07-11</x:v>
      </x:c>
      <x:c r="J210" t="str">
        <x:v>2026-07-19</x:v>
      </x:c>
      <x:c r="K210" t="n">
        <x:v>8</x:v>
      </x:c>
      <x:c r="L210" t="str">
        <x:v>Partial</x:v>
      </x:c>
      <x:c r="M210" t="str">
        <x:v>Matched</x:v>
      </x:c>
    </x:row>
    <x:row r="211">
      <x:c r="A211" t="str">
        <x:v>PO500209</x:v>
      </x:c>
      <x:c r="B211" t="str">
        <x:v>2026-08-21</x:v>
      </x:c>
      <x:c r="C211" t="str">
        <x:v>V1031</x:v>
      </x:c>
      <x:c r="D211" t="str">
        <x:v>MAT2017</x:v>
      </x:c>
      <x:c r="E211" t="n">
        <x:v>344</x:v>
      </x:c>
      <x:c r="F211" t="n">
        <x:v>312</x:v>
      </x:c>
      <x:c r="G211" s="8" t="n">
        <x:v>497.03</x:v>
      </x:c>
      <x:c r="H211" s="8" t="n">
        <x:v>170978.32</x:v>
      </x:c>
      <x:c r="I211" t="str">
        <x:v>2026-08-31</x:v>
      </x:c>
      <x:c r="J211" t="str">
        <x:v>2026-08-31</x:v>
      </x:c>
      <x:c r="K211" t="n">
        <x:v>0</x:v>
      </x:c>
      <x:c r="L211" t="str">
        <x:v>Partial</x:v>
      </x:c>
      <x:c r="M211" t="str">
        <x:v>Pending</x:v>
      </x:c>
    </x:row>
    <x:row r="212">
      <x:c r="A212" t="str">
        <x:v>PO500210</x:v>
      </x:c>
      <x:c r="B212" t="str">
        <x:v>2026-04-24</x:v>
      </x:c>
      <x:c r="C212" t="str">
        <x:v>V1000</x:v>
      </x:c>
      <x:c r="D212" t="str">
        <x:v>MAT2025</x:v>
      </x:c>
      <x:c r="E212" t="n">
        <x:v>373</x:v>
      </x:c>
      <x:c r="F212" t="n">
        <x:v>347</x:v>
      </x:c>
      <x:c r="G212" s="8" t="n">
        <x:v>1373.14</x:v>
      </x:c>
      <x:c r="H212" s="8" t="n">
        <x:v>512181.22</x:v>
      </x:c>
      <x:c r="I212" t="str">
        <x:v>2026-05-04</x:v>
      </x:c>
      <x:c r="J212" t="str">
        <x:v>2026-05-04</x:v>
      </x:c>
      <x:c r="K212" t="n">
        <x:v>0</x:v>
      </x:c>
      <x:c r="L212" t="str">
        <x:v>Partial</x:v>
      </x:c>
      <x:c r="M212" t="str">
        <x:v>Matched</x:v>
      </x:c>
    </x:row>
    <x:row r="213">
      <x:c r="A213" t="str">
        <x:v>PO500211</x:v>
      </x:c>
      <x:c r="B213" t="str">
        <x:v>2026-05-04</x:v>
      </x:c>
      <x:c r="C213" t="str">
        <x:v>V1031</x:v>
      </x:c>
      <x:c r="D213" t="str">
        <x:v>MAT2004</x:v>
      </x:c>
      <x:c r="E213" t="n">
        <x:v>446</x:v>
      </x:c>
      <x:c r="F213" t="n">
        <x:v>446</x:v>
      </x:c>
      <x:c r="G213" s="8" t="n">
        <x:v>1034.62</x:v>
      </x:c>
      <x:c r="H213" s="8" t="n">
        <x:v>461440.52</x:v>
      </x:c>
      <x:c r="I213" t="str">
        <x:v>2026-05-11</x:v>
      </x:c>
      <x:c r="J213" t="str">
        <x:v>2026-05-11</x:v>
      </x:c>
      <x:c r="K213" t="n">
        <x:v>0</x:v>
      </x:c>
      <x:c r="L213" t="str">
        <x:v>Complete</x:v>
      </x:c>
      <x:c r="M213" t="str">
        <x:v>Mismatch</x:v>
      </x:c>
    </x:row>
    <x:row r="214">
      <x:c r="A214" t="str">
        <x:v>PO500212</x:v>
      </x:c>
      <x:c r="B214" t="str">
        <x:v>2026-01-10</x:v>
      </x:c>
      <x:c r="C214" t="str">
        <x:v>V1003</x:v>
      </x:c>
      <x:c r="D214" t="str">
        <x:v>MAT2059</x:v>
      </x:c>
      <x:c r="E214" t="n">
        <x:v>168</x:v>
      </x:c>
      <x:c r="F214" t="n">
        <x:v>168</x:v>
      </x:c>
      <x:c r="G214" s="8" t="n">
        <x:v>1550.6</x:v>
      </x:c>
      <x:c r="H214" s="8" t="n">
        <x:v>260500.8</x:v>
      </x:c>
      <x:c r="I214" t="str">
        <x:v>2026-01-20</x:v>
      </x:c>
      <x:c r="J214" t="str">
        <x:v>2026-01-20</x:v>
      </x:c>
      <x:c r="K214" t="n">
        <x:v>0</x:v>
      </x:c>
      <x:c r="L214" t="str">
        <x:v>Complete</x:v>
      </x:c>
      <x:c r="M214" t="str">
        <x:v>Pending</x:v>
      </x:c>
    </x:row>
    <x:row r="215">
      <x:c r="A215" t="str">
        <x:v>PO500213</x:v>
      </x:c>
      <x:c r="B215" t="str">
        <x:v>2026-02-05</x:v>
      </x:c>
      <x:c r="C215" t="str">
        <x:v>V1033</x:v>
      </x:c>
      <x:c r="D215" t="str">
        <x:v>MAT2032</x:v>
      </x:c>
      <x:c r="E215" t="n">
        <x:v>66</x:v>
      </x:c>
      <x:c r="F215" t="n">
        <x:v>66</x:v>
      </x:c>
      <x:c r="G215" s="8" t="n">
        <x:v>2362.51</x:v>
      </x:c>
      <x:c r="H215" s="8" t="n">
        <x:v>155925.66</x:v>
      </x:c>
      <x:c r="I215" t="str">
        <x:v>2026-02-19</x:v>
      </x:c>
      <x:c r="J215" t="str">
        <x:v>2026-02-19</x:v>
      </x:c>
      <x:c r="K215" t="n">
        <x:v>0</x:v>
      </x:c>
      <x:c r="L215" t="str">
        <x:v>Complete</x:v>
      </x:c>
      <x:c r="M215" t="str">
        <x:v>Matched</x:v>
      </x:c>
    </x:row>
    <x:row r="216">
      <x:c r="A216" t="str">
        <x:v>PO500214</x:v>
      </x:c>
      <x:c r="B216" t="str">
        <x:v>2026-05-05</x:v>
      </x:c>
      <x:c r="C216" t="str">
        <x:v>V1002</x:v>
      </x:c>
      <x:c r="D216" t="str">
        <x:v>MAT2055</x:v>
      </x:c>
      <x:c r="E216" t="n">
        <x:v>151</x:v>
      </x:c>
      <x:c r="F216" t="n">
        <x:v>151</x:v>
      </x:c>
      <x:c r="G216" s="8" t="n">
        <x:v>775.59</x:v>
      </x:c>
      <x:c r="H216" s="8" t="n">
        <x:v>117114.09</x:v>
      </x:c>
      <x:c r="I216" t="str">
        <x:v>2026-05-09</x:v>
      </x:c>
      <x:c r="J216" t="str">
        <x:v>2026-05-09</x:v>
      </x:c>
      <x:c r="K216" t="n">
        <x:v>0</x:v>
      </x:c>
      <x:c r="L216" t="str">
        <x:v>Complete</x:v>
      </x:c>
      <x:c r="M216" t="str">
        <x:v>Matched</x:v>
      </x:c>
    </x:row>
    <x:row r="217">
      <x:c r="A217" t="str">
        <x:v>PO500215</x:v>
      </x:c>
      <x:c r="B217" t="str">
        <x:v>2026-04-07</x:v>
      </x:c>
      <x:c r="C217" t="str">
        <x:v>V1004</x:v>
      </x:c>
      <x:c r="D217" t="str">
        <x:v>MAT2072</x:v>
      </x:c>
      <x:c r="E217" t="n">
        <x:v>223</x:v>
      </x:c>
      <x:c r="F217" t="n">
        <x:v>223</x:v>
      </x:c>
      <x:c r="G217" s="8" t="n">
        <x:v>1818.13</x:v>
      </x:c>
      <x:c r="H217" s="8" t="n">
        <x:v>405442.99</x:v>
      </x:c>
      <x:c r="I217" t="str">
        <x:v>2026-04-14</x:v>
      </x:c>
      <x:c r="J217" t="str">
        <x:v>2026-04-14</x:v>
      </x:c>
      <x:c r="K217" t="n">
        <x:v>0</x:v>
      </x:c>
      <x:c r="L217" t="str">
        <x:v>Complete</x:v>
      </x:c>
      <x:c r="M217" t="str">
        <x:v>Pending</x:v>
      </x:c>
    </x:row>
    <x:row r="218">
      <x:c r="A218" t="str">
        <x:v>PO500216</x:v>
      </x:c>
      <x:c r="B218" t="str">
        <x:v>2026-08-22</x:v>
      </x:c>
      <x:c r="C218" t="str">
        <x:v>V1019</x:v>
      </x:c>
      <x:c r="D218" t="str">
        <x:v>MAT2068</x:v>
      </x:c>
      <x:c r="E218" t="n">
        <x:v>323</x:v>
      </x:c>
      <x:c r="F218" t="n">
        <x:v>323</x:v>
      </x:c>
      <x:c r="G218" s="8" t="n">
        <x:v>1581.14</x:v>
      </x:c>
      <x:c r="H218" s="8" t="n">
        <x:v>510708.22</x:v>
      </x:c>
      <x:c r="I218" t="str">
        <x:v>2026-08-31</x:v>
      </x:c>
      <x:c r="J218" t="str">
        <x:v>2026-08-31</x:v>
      </x:c>
      <x:c r="K218" t="n">
        <x:v>0</x:v>
      </x:c>
      <x:c r="L218" t="str">
        <x:v>Complete</x:v>
      </x:c>
      <x:c r="M218" t="str">
        <x:v>Matched</x:v>
      </x:c>
    </x:row>
    <x:row r="219">
      <x:c r="A219" t="str">
        <x:v>PO500217</x:v>
      </x:c>
      <x:c r="B219" t="str">
        <x:v>2026-06-25</x:v>
      </x:c>
      <x:c r="C219" t="str">
        <x:v>V1010</x:v>
      </x:c>
      <x:c r="D219" t="str">
        <x:v>MAT2031</x:v>
      </x:c>
      <x:c r="E219" t="n">
        <x:v>61</x:v>
      </x:c>
      <x:c r="F219" t="n">
        <x:v>59</x:v>
      </x:c>
      <x:c r="G219" s="8" t="n">
        <x:v>428.08</x:v>
      </x:c>
      <x:c r="H219" s="8" t="n">
        <x:v>26112.88</x:v>
      </x:c>
      <x:c r="I219" t="str">
        <x:v>2026-07-07</x:v>
      </x:c>
      <x:c r="J219" t="str">
        <x:v>2026-07-07</x:v>
      </x:c>
      <x:c r="K219" t="n">
        <x:v>0</x:v>
      </x:c>
      <x:c r="L219" t="str">
        <x:v>Partial</x:v>
      </x:c>
      <x:c r="M219" t="str">
        <x:v>Mismatch</x:v>
      </x:c>
    </x:row>
    <x:row r="220">
      <x:c r="A220" t="str">
        <x:v>PO500218</x:v>
      </x:c>
      <x:c r="B220" t="str">
        <x:v>2026-03-24</x:v>
      </x:c>
      <x:c r="C220" t="str">
        <x:v>V1012</x:v>
      </x:c>
      <x:c r="D220" t="str">
        <x:v>MAT2022</x:v>
      </x:c>
      <x:c r="E220" t="n">
        <x:v>90</x:v>
      </x:c>
      <x:c r="F220" t="n">
        <x:v>90</x:v>
      </x:c>
      <x:c r="G220" s="8" t="n">
        <x:v>512.34</x:v>
      </x:c>
      <x:c r="H220" s="8" t="n">
        <x:v>46110.6</x:v>
      </x:c>
      <x:c r="I220" t="str">
        <x:v>2026-04-02</x:v>
      </x:c>
      <x:c r="J220" t="str">
        <x:v>2026-04-07</x:v>
      </x:c>
      <x:c r="K220" t="n">
        <x:v>5</x:v>
      </x:c>
      <x:c r="L220" t="str">
        <x:v>Complete</x:v>
      </x:c>
      <x:c r="M220" t="str">
        <x:v>Matched</x:v>
      </x:c>
    </x:row>
    <x:row r="221">
      <x:c r="A221" t="str">
        <x:v>PO500219</x:v>
      </x:c>
      <x:c r="B221" t="str">
        <x:v>2026-05-16</x:v>
      </x:c>
      <x:c r="C221" t="str">
        <x:v>V1012</x:v>
      </x:c>
      <x:c r="D221" t="str">
        <x:v>MAT2066</x:v>
      </x:c>
      <x:c r="E221" t="n">
        <x:v>389</x:v>
      </x:c>
      <x:c r="F221" t="n">
        <x:v>389</x:v>
      </x:c>
      <x:c r="G221" s="8" t="n">
        <x:v>1065.7</x:v>
      </x:c>
      <x:c r="H221" s="8" t="n">
        <x:v>414557.3</x:v>
      </x:c>
      <x:c r="I221" t="str">
        <x:v>2026-06-05</x:v>
      </x:c>
      <x:c r="J221" t="str">
        <x:v>2026-06-05</x:v>
      </x:c>
      <x:c r="K221" t="n">
        <x:v>0</x:v>
      </x:c>
      <x:c r="L221" t="str">
        <x:v>Complete</x:v>
      </x:c>
      <x:c r="M221" t="str">
        <x:v>Matched</x:v>
      </x:c>
    </x:row>
    <x:row r="222">
      <x:c r="A222" t="str">
        <x:v>PO500220</x:v>
      </x:c>
      <x:c r="B222" t="str">
        <x:v>2026-05-10</x:v>
      </x:c>
      <x:c r="C222" t="str">
        <x:v>V1025</x:v>
      </x:c>
      <x:c r="D222" t="str">
        <x:v>MAT2026</x:v>
      </x:c>
      <x:c r="E222" t="n">
        <x:v>238</x:v>
      </x:c>
      <x:c r="F222" t="n">
        <x:v>238</x:v>
      </x:c>
      <x:c r="G222" s="8" t="n">
        <x:v>1177.06</x:v>
      </x:c>
      <x:c r="H222" s="8" t="n">
        <x:v>280140.28</x:v>
      </x:c>
      <x:c r="I222" t="str">
        <x:v>2026-05-17</x:v>
      </x:c>
      <x:c r="J222" t="str">
        <x:v>2026-05-19</x:v>
      </x:c>
      <x:c r="K222" t="n">
        <x:v>2</x:v>
      </x:c>
      <x:c r="L222" t="str">
        <x:v>Complete</x:v>
      </x:c>
      <x:c r="M222" t="str">
        <x:v>Pending</x:v>
      </x:c>
    </x:row>
    <x:row r="223">
      <x:c r="A223" t="str">
        <x:v>PO500221</x:v>
      </x:c>
      <x:c r="B223" t="str">
        <x:v>2026-02-17</x:v>
      </x:c>
      <x:c r="C223" t="str">
        <x:v>V1022</x:v>
      </x:c>
      <x:c r="D223" t="str">
        <x:v>MAT2031</x:v>
      </x:c>
      <x:c r="E223" t="n">
        <x:v>218</x:v>
      </x:c>
      <x:c r="F223" t="n">
        <x:v>218</x:v>
      </x:c>
      <x:c r="G223" s="8" t="n">
        <x:v>555.82</x:v>
      </x:c>
      <x:c r="H223" s="8" t="n">
        <x:v>121168.76</x:v>
      </x:c>
      <x:c r="I223" t="str">
        <x:v>2026-03-07</x:v>
      </x:c>
      <x:c r="J223" t="str">
        <x:v>2026-03-07</x:v>
      </x:c>
      <x:c r="K223" t="n">
        <x:v>0</x:v>
      </x:c>
      <x:c r="L223" t="str">
        <x:v>Complete</x:v>
      </x:c>
      <x:c r="M223" t="str">
        <x:v>Matched</x:v>
      </x:c>
    </x:row>
    <x:row r="224">
      <x:c r="A224" t="str">
        <x:v>PO500222</x:v>
      </x:c>
      <x:c r="B224" t="str">
        <x:v>2026-05-17</x:v>
      </x:c>
      <x:c r="C224" t="str">
        <x:v>V1008</x:v>
      </x:c>
      <x:c r="D224" t="str">
        <x:v>MAT2020</x:v>
      </x:c>
      <x:c r="E224" t="n">
        <x:v>93</x:v>
      </x:c>
      <x:c r="F224" t="n">
        <x:v>93</x:v>
      </x:c>
      <x:c r="G224" s="8" t="n">
        <x:v>1902.55</x:v>
      </x:c>
      <x:c r="H224" s="8" t="n">
        <x:v>176937.15</x:v>
      </x:c>
      <x:c r="I224" t="str">
        <x:v>2026-05-25</x:v>
      </x:c>
      <x:c r="J224" t="str">
        <x:v>2026-05-26</x:v>
      </x:c>
      <x:c r="K224" t="n">
        <x:v>1</x:v>
      </x:c>
      <x:c r="L224" t="str">
        <x:v>Complete</x:v>
      </x:c>
      <x:c r="M224" t="str">
        <x:v>Matched</x:v>
      </x:c>
    </x:row>
    <x:row r="225">
      <x:c r="A225" t="str">
        <x:v>PO500223</x:v>
      </x:c>
      <x:c r="B225" t="str">
        <x:v>2026-06-25</x:v>
      </x:c>
      <x:c r="C225" t="str">
        <x:v>V1025</x:v>
      </x:c>
      <x:c r="D225" t="str">
        <x:v>MAT2027</x:v>
      </x:c>
      <x:c r="E225" t="n">
        <x:v>62</x:v>
      </x:c>
      <x:c r="F225" t="n">
        <x:v>60</x:v>
      </x:c>
      <x:c r="G225" s="8" t="n">
        <x:v>1487.14</x:v>
      </x:c>
      <x:c r="H225" s="8" t="n">
        <x:v>92202.68</x:v>
      </x:c>
      <x:c r="I225" t="str">
        <x:v>2026-07-06</x:v>
      </x:c>
      <x:c r="J225" t="str">
        <x:v>2026-07-09</x:v>
      </x:c>
      <x:c r="K225" t="n">
        <x:v>3</x:v>
      </x:c>
      <x:c r="L225" t="str">
        <x:v>Partial</x:v>
      </x:c>
      <x:c r="M225" t="str">
        <x:v>Mismatch</x:v>
      </x:c>
    </x:row>
    <x:row r="226">
      <x:c r="A226" t="str">
        <x:v>PO500224</x:v>
      </x:c>
      <x:c r="B226" t="str">
        <x:v>2026-04-28</x:v>
      </x:c>
      <x:c r="C226" t="str">
        <x:v>V1034</x:v>
      </x:c>
      <x:c r="D226" t="str">
        <x:v>MAT2043</x:v>
      </x:c>
      <x:c r="E226" t="n">
        <x:v>323</x:v>
      </x:c>
      <x:c r="F226" t="n">
        <x:v>316</x:v>
      </x:c>
      <x:c r="G226" s="8" t="n">
        <x:v>552.04</x:v>
      </x:c>
      <x:c r="H226" s="8" t="n">
        <x:v>178308.92</x:v>
      </x:c>
      <x:c r="I226" t="str">
        <x:v>2026-05-10</x:v>
      </x:c>
      <x:c r="J226" t="str">
        <x:v>2026-05-10</x:v>
      </x:c>
      <x:c r="K226" t="n">
        <x:v>0</x:v>
      </x:c>
      <x:c r="L226" t="str">
        <x:v>Partial</x:v>
      </x:c>
      <x:c r="M226" t="str">
        <x:v>Pending</x:v>
      </x:c>
    </x:row>
    <x:row r="227">
      <x:c r="A227" t="str">
        <x:v>PO500225</x:v>
      </x:c>
      <x:c r="B227" t="str">
        <x:v>2026-04-18</x:v>
      </x:c>
      <x:c r="C227" t="str">
        <x:v>V1015</x:v>
      </x:c>
      <x:c r="D227" t="str">
        <x:v>MAT2057</x:v>
      </x:c>
      <x:c r="E227" t="n">
        <x:v>368</x:v>
      </x:c>
      <x:c r="F227" t="n">
        <x:v>368</x:v>
      </x:c>
      <x:c r="G227" s="8" t="n">
        <x:v>1222.06</x:v>
      </x:c>
      <x:c r="H227" s="8" t="n">
        <x:v>449718.08</x:v>
      </x:c>
      <x:c r="I227" t="str">
        <x:v>2026-05-01</x:v>
      </x:c>
      <x:c r="J227" t="str">
        <x:v>2026-05-01</x:v>
      </x:c>
      <x:c r="K227" t="n">
        <x:v>0</x:v>
      </x:c>
      <x:c r="L227" t="str">
        <x:v>Complete</x:v>
      </x:c>
      <x:c r="M227" t="str">
        <x:v>Matched</x:v>
      </x:c>
    </x:row>
    <x:row r="228">
      <x:c r="A228" t="str">
        <x:v>PO500226</x:v>
      </x:c>
      <x:c r="B228" t="str">
        <x:v>2026-01-08</x:v>
      </x:c>
      <x:c r="C228" t="str">
        <x:v>V1015</x:v>
      </x:c>
      <x:c r="D228" t="str">
        <x:v>MAT2015</x:v>
      </x:c>
      <x:c r="E228" t="n">
        <x:v>349</x:v>
      </x:c>
      <x:c r="F228" t="n">
        <x:v>349</x:v>
      </x:c>
      <x:c r="G228" s="8" t="n">
        <x:v>2357.43</x:v>
      </x:c>
      <x:c r="H228" s="8" t="n">
        <x:v>822743.07</x:v>
      </x:c>
      <x:c r="I228" t="str">
        <x:v>2026-01-14</x:v>
      </x:c>
      <x:c r="J228" t="str">
        <x:v>2026-01-14</x:v>
      </x:c>
      <x:c r="K228" t="n">
        <x:v>0</x:v>
      </x:c>
      <x:c r="L228" t="str">
        <x:v>Complete</x:v>
      </x:c>
      <x:c r="M228" t="str">
        <x:v>Mismatch</x:v>
      </x:c>
    </x:row>
    <x:row r="229">
      <x:c r="A229" t="str">
        <x:v>PO500227</x:v>
      </x:c>
      <x:c r="B229" t="str">
        <x:v>2026-07-26</x:v>
      </x:c>
      <x:c r="C229" t="str">
        <x:v>V1028</x:v>
      </x:c>
      <x:c r="D229" t="str">
        <x:v>MAT2034</x:v>
      </x:c>
      <x:c r="E229" t="n">
        <x:v>409</x:v>
      </x:c>
      <x:c r="F229" t="n">
        <x:v>376</x:v>
      </x:c>
      <x:c r="G229" s="8" t="n">
        <x:v>1220.36</x:v>
      </x:c>
      <x:c r="H229" s="8" t="n">
        <x:v>499127.24</x:v>
      </x:c>
      <x:c r="I229" t="str">
        <x:v>2026-08-10</x:v>
      </x:c>
      <x:c r="J229" t="str">
        <x:v>2026-08-12</x:v>
      </x:c>
      <x:c r="K229" t="n">
        <x:v>2</x:v>
      </x:c>
      <x:c r="L229" t="str">
        <x:v>Partial</x:v>
      </x:c>
      <x:c r="M229" t="str">
        <x:v>Matched</x:v>
      </x:c>
    </x:row>
    <x:row r="230">
      <x:c r="A230" t="str">
        <x:v>PO500228</x:v>
      </x:c>
      <x:c r="B230" t="str">
        <x:v>2026-06-04</x:v>
      </x:c>
      <x:c r="C230" t="str">
        <x:v>V1023</x:v>
      </x:c>
      <x:c r="D230" t="str">
        <x:v>MAT2013</x:v>
      </x:c>
      <x:c r="E230" t="n">
        <x:v>75</x:v>
      </x:c>
      <x:c r="F230" t="n">
        <x:v>75</x:v>
      </x:c>
      <x:c r="G230" s="8" t="n">
        <x:v>2022.85</x:v>
      </x:c>
      <x:c r="H230" s="8" t="n">
        <x:v>151713.75</x:v>
      </x:c>
      <x:c r="I230" t="str">
        <x:v>2026-06-19</x:v>
      </x:c>
      <x:c r="J230" t="str">
        <x:v>2026-06-20</x:v>
      </x:c>
      <x:c r="K230" t="n">
        <x:v>1</x:v>
      </x:c>
      <x:c r="L230" t="str">
        <x:v>Complete</x:v>
      </x:c>
      <x:c r="M230" t="str">
        <x:v>Matched</x:v>
      </x:c>
    </x:row>
    <x:row r="231">
      <x:c r="A231" t="str">
        <x:v>PO500229</x:v>
      </x:c>
      <x:c r="B231" t="str">
        <x:v>2026-07-30</x:v>
      </x:c>
      <x:c r="C231" t="str">
        <x:v>V1011</x:v>
      </x:c>
      <x:c r="D231" t="str">
        <x:v>MAT2072</x:v>
      </x:c>
      <x:c r="E231" t="n">
        <x:v>137</x:v>
      </x:c>
      <x:c r="F231" t="n">
        <x:v>137</x:v>
      </x:c>
      <x:c r="G231" s="8" t="n">
        <x:v>1152.02</x:v>
      </x:c>
      <x:c r="H231" s="8" t="n">
        <x:v>157826.74</x:v>
      </x:c>
      <x:c r="I231" t="str">
        <x:v>2026-08-03</x:v>
      </x:c>
      <x:c r="J231" t="str">
        <x:v>2026-08-03</x:v>
      </x:c>
      <x:c r="K231" t="n">
        <x:v>0</x:v>
      </x:c>
      <x:c r="L231" t="str">
        <x:v>Complete</x:v>
      </x:c>
      <x:c r="M231" t="str">
        <x:v>Matched</x:v>
      </x:c>
    </x:row>
    <x:row r="232">
      <x:c r="A232" t="str">
        <x:v>PO500230</x:v>
      </x:c>
      <x:c r="B232" t="str">
        <x:v>2026-02-16</x:v>
      </x:c>
      <x:c r="C232" t="str">
        <x:v>V1027</x:v>
      </x:c>
      <x:c r="D232" t="str">
        <x:v>MAT2059</x:v>
      </x:c>
      <x:c r="E232" t="n">
        <x:v>359</x:v>
      </x:c>
      <x:c r="F232" t="n">
        <x:v>359</x:v>
      </x:c>
      <x:c r="G232" s="8" t="n">
        <x:v>2113.46</x:v>
      </x:c>
      <x:c r="H232" s="8" t="n">
        <x:v>758732.14</x:v>
      </x:c>
      <x:c r="I232" t="str">
        <x:v>2026-03-07</x:v>
      </x:c>
      <x:c r="J232" t="str">
        <x:v>2026-03-07</x:v>
      </x:c>
      <x:c r="K232" t="n">
        <x:v>0</x:v>
      </x:c>
      <x:c r="L232" t="str">
        <x:v>Complete</x:v>
      </x:c>
      <x:c r="M232" t="str">
        <x:v>Pending</x:v>
      </x:c>
    </x:row>
    <x:row r="233">
      <x:c r="A233" t="str">
        <x:v>PO500231</x:v>
      </x:c>
      <x:c r="B233" t="str">
        <x:v>2026-03-10</x:v>
      </x:c>
      <x:c r="C233" t="str">
        <x:v>V1013</x:v>
      </x:c>
      <x:c r="D233" t="str">
        <x:v>MAT2020</x:v>
      </x:c>
      <x:c r="E233" t="n">
        <x:v>349</x:v>
      </x:c>
      <x:c r="F233" t="n">
        <x:v>349</x:v>
      </x:c>
      <x:c r="G233" s="8" t="n">
        <x:v>1959.37</x:v>
      </x:c>
      <x:c r="H233" s="8" t="n">
        <x:v>683820.13</x:v>
      </x:c>
      <x:c r="I233" t="str">
        <x:v>2026-03-21</x:v>
      </x:c>
      <x:c r="J233" t="str">
        <x:v>2026-03-21</x:v>
      </x:c>
      <x:c r="K233" t="n">
        <x:v>0</x:v>
      </x:c>
      <x:c r="L233" t="str">
        <x:v>Complete</x:v>
      </x:c>
      <x:c r="M233" t="str">
        <x:v>Matched</x:v>
      </x:c>
    </x:row>
    <x:row r="234">
      <x:c r="A234" t="str">
        <x:v>PO500232</x:v>
      </x:c>
      <x:c r="B234" t="str">
        <x:v>2026-08-12</x:v>
      </x:c>
      <x:c r="C234" t="str">
        <x:v>V1016</x:v>
      </x:c>
      <x:c r="D234" t="str">
        <x:v>MAT2032</x:v>
      </x:c>
      <x:c r="E234" t="n">
        <x:v>191</x:v>
      </x:c>
      <x:c r="F234" t="n">
        <x:v>186</x:v>
      </x:c>
      <x:c r="G234" s="8" t="n">
        <x:v>1614.81</x:v>
      </x:c>
      <x:c r="H234" s="8" t="n">
        <x:v>308428.71</x:v>
      </x:c>
      <x:c r="I234" t="str">
        <x:v>2026-08-30</x:v>
      </x:c>
      <x:c r="J234" t="str">
        <x:v>2026-09-04</x:v>
      </x:c>
      <x:c r="K234" t="n">
        <x:v>5</x:v>
      </x:c>
      <x:c r="L234" t="str">
        <x:v>Partial</x:v>
      </x:c>
      <x:c r="M234" t="str">
        <x:v>Matched</x:v>
      </x:c>
    </x:row>
    <x:row r="235">
      <x:c r="A235" t="str">
        <x:v>PO500233</x:v>
      </x:c>
      <x:c r="B235" t="str">
        <x:v>2026-08-24</x:v>
      </x:c>
      <x:c r="C235" t="str">
        <x:v>V1029</x:v>
      </x:c>
      <x:c r="D235" t="str">
        <x:v>MAT2033</x:v>
      </x:c>
      <x:c r="E235" t="n">
        <x:v>72</x:v>
      </x:c>
      <x:c r="F235" t="n">
        <x:v>72</x:v>
      </x:c>
      <x:c r="G235" s="8" t="n">
        <x:v>1463.75</x:v>
      </x:c>
      <x:c r="H235" s="8" t="n">
        <x:v>105390</x:v>
      </x:c>
      <x:c r="I235" t="str">
        <x:v>2026-09-10</x:v>
      </x:c>
      <x:c r="J235" t="str">
        <x:v>2026-09-10</x:v>
      </x:c>
      <x:c r="K235" t="n">
        <x:v>0</x:v>
      </x:c>
      <x:c r="L235" t="str">
        <x:v>Complete</x:v>
      </x:c>
      <x:c r="M235" t="str">
        <x:v>Matched</x:v>
      </x:c>
    </x:row>
    <x:row r="236">
      <x:c r="A236" t="str">
        <x:v>PO500234</x:v>
      </x:c>
      <x:c r="B236" t="str">
        <x:v>2026-03-25</x:v>
      </x:c>
      <x:c r="C236" t="str">
        <x:v>V1019</x:v>
      </x:c>
      <x:c r="D236" t="str">
        <x:v>MAT2040</x:v>
      </x:c>
      <x:c r="E236" t="n">
        <x:v>148</x:v>
      </x:c>
      <x:c r="F236" t="n">
        <x:v>148</x:v>
      </x:c>
      <x:c r="G236" s="8" t="n">
        <x:v>23.49</x:v>
      </x:c>
      <x:c r="H236" s="8" t="n">
        <x:v>3476.52</x:v>
      </x:c>
      <x:c r="I236" t="str">
        <x:v>2026-04-06</x:v>
      </x:c>
      <x:c r="J236" t="str">
        <x:v>2026-04-06</x:v>
      </x:c>
      <x:c r="K236" t="n">
        <x:v>0</x:v>
      </x:c>
      <x:c r="L236" t="str">
        <x:v>Complete</x:v>
      </x:c>
      <x:c r="M236" t="str">
        <x:v>Mismatch</x:v>
      </x:c>
    </x:row>
    <x:row r="237">
      <x:c r="A237" t="str">
        <x:v>PO500235</x:v>
      </x:c>
      <x:c r="B237" t="str">
        <x:v>2026-04-01</x:v>
      </x:c>
      <x:c r="C237" t="str">
        <x:v>V1019</x:v>
      </x:c>
      <x:c r="D237" t="str">
        <x:v>MAT2007</x:v>
      </x:c>
      <x:c r="E237" t="n">
        <x:v>385</x:v>
      </x:c>
      <x:c r="F237" t="n">
        <x:v>385</x:v>
      </x:c>
      <x:c r="G237" s="8" t="n">
        <x:v>2448.18</x:v>
      </x:c>
      <x:c r="H237" s="8" t="n">
        <x:v>942549.3</x:v>
      </x:c>
      <x:c r="I237" t="str">
        <x:v>2026-04-08</x:v>
      </x:c>
      <x:c r="J237" t="str">
        <x:v>2026-04-11</x:v>
      </x:c>
      <x:c r="K237" t="n">
        <x:v>3</x:v>
      </x:c>
      <x:c r="L237" t="str">
        <x:v>Complete</x:v>
      </x:c>
      <x:c r="M237" t="str">
        <x:v>Matched</x:v>
      </x:c>
    </x:row>
    <x:row r="238">
      <x:c r="A238" t="str">
        <x:v>PO500236</x:v>
      </x:c>
      <x:c r="B238" t="str">
        <x:v>2026-03-23</x:v>
      </x:c>
      <x:c r="C238" t="str">
        <x:v>V1030</x:v>
      </x:c>
      <x:c r="D238" t="str">
        <x:v>MAT2061</x:v>
      </x:c>
      <x:c r="E238" t="n">
        <x:v>160</x:v>
      </x:c>
      <x:c r="F238" t="n">
        <x:v>160</x:v>
      </x:c>
      <x:c r="G238" s="8" t="n">
        <x:v>540.55</x:v>
      </x:c>
      <x:c r="H238" s="8" t="n">
        <x:v>86488</x:v>
      </x:c>
      <x:c r="I238" t="str">
        <x:v>2026-03-29</x:v>
      </x:c>
      <x:c r="J238" t="str">
        <x:v>2026-03-29</x:v>
      </x:c>
      <x:c r="K238" t="n">
        <x:v>0</x:v>
      </x:c>
      <x:c r="L238" t="str">
        <x:v>Complete</x:v>
      </x:c>
      <x:c r="M238" t="str">
        <x:v>Pending</x:v>
      </x:c>
    </x:row>
    <x:row r="239">
      <x:c r="A239" t="str">
        <x:v>PO500237</x:v>
      </x:c>
      <x:c r="B239" t="str">
        <x:v>2026-08-08</x:v>
      </x:c>
      <x:c r="C239" t="str">
        <x:v>V1032</x:v>
      </x:c>
      <x:c r="D239" t="str">
        <x:v>MAT2009</x:v>
      </x:c>
      <x:c r="E239" t="n">
        <x:v>94</x:v>
      </x:c>
      <x:c r="F239" t="n">
        <x:v>94</x:v>
      </x:c>
      <x:c r="G239" s="8" t="n">
        <x:v>793.1</x:v>
      </x:c>
      <x:c r="H239" s="8" t="n">
        <x:v>74551.4</x:v>
      </x:c>
      <x:c r="I239" t="str">
        <x:v>2026-08-21</x:v>
      </x:c>
      <x:c r="J239" t="str">
        <x:v>2026-08-21</x:v>
      </x:c>
      <x:c r="K239" t="n">
        <x:v>0</x:v>
      </x:c>
      <x:c r="L239" t="str">
        <x:v>Complete</x:v>
      </x:c>
      <x:c r="M239" t="str">
        <x:v>Pending</x:v>
      </x:c>
    </x:row>
    <x:row r="240">
      <x:c r="A240" t="str">
        <x:v>PO500238</x:v>
      </x:c>
      <x:c r="B240" t="str">
        <x:v>2026-07-04</x:v>
      </x:c>
      <x:c r="C240" t="str">
        <x:v>V1024</x:v>
      </x:c>
      <x:c r="D240" t="str">
        <x:v>MAT2070</x:v>
      </x:c>
      <x:c r="E240" t="n">
        <x:v>155</x:v>
      </x:c>
      <x:c r="F240" t="n">
        <x:v>143</x:v>
      </x:c>
      <x:c r="G240" s="8" t="n">
        <x:v>471.42</x:v>
      </x:c>
      <x:c r="H240" s="8" t="n">
        <x:v>73070.1</x:v>
      </x:c>
      <x:c r="I240" t="str">
        <x:v>2026-07-22</x:v>
      </x:c>
      <x:c r="J240" t="str">
        <x:v>2026-07-22</x:v>
      </x:c>
      <x:c r="K240" t="n">
        <x:v>0</x:v>
      </x:c>
      <x:c r="L240" t="str">
        <x:v>Partial</x:v>
      </x:c>
      <x:c r="M240" t="str">
        <x:v>Matched</x:v>
      </x:c>
    </x:row>
    <x:row r="241">
      <x:c r="A241" t="str">
        <x:v>PO500239</x:v>
      </x:c>
      <x:c r="B241" t="str">
        <x:v>2026-03-15</x:v>
      </x:c>
      <x:c r="C241" t="str">
        <x:v>V1030</x:v>
      </x:c>
      <x:c r="D241" t="str">
        <x:v>MAT2028</x:v>
      </x:c>
      <x:c r="E241" t="n">
        <x:v>256</x:v>
      </x:c>
      <x:c r="F241" t="n">
        <x:v>256</x:v>
      </x:c>
      <x:c r="G241" s="8" t="n">
        <x:v>2445.91</x:v>
      </x:c>
      <x:c r="H241" s="8" t="n">
        <x:v>626152.96</x:v>
      </x:c>
      <x:c r="I241" t="str">
        <x:v>2026-03-30</x:v>
      </x:c>
      <x:c r="J241" t="str">
        <x:v>2026-03-30</x:v>
      </x:c>
      <x:c r="K241" t="n">
        <x:v>0</x:v>
      </x:c>
      <x:c r="L241" t="str">
        <x:v>Complete</x:v>
      </x:c>
      <x:c r="M241" t="str">
        <x:v>Pending</x:v>
      </x:c>
    </x:row>
    <x:row r="242">
      <x:c r="A242" t="str">
        <x:v>PO500240</x:v>
      </x:c>
      <x:c r="B242" t="str">
        <x:v>2026-04-07</x:v>
      </x:c>
      <x:c r="C242" t="str">
        <x:v>V1030</x:v>
      </x:c>
      <x:c r="D242" t="str">
        <x:v>MAT2062</x:v>
      </x:c>
      <x:c r="E242" t="n">
        <x:v>484</x:v>
      </x:c>
      <x:c r="F242" t="n">
        <x:v>453</x:v>
      </x:c>
      <x:c r="G242" s="8" t="n">
        <x:v>1420.95</x:v>
      </x:c>
      <x:c r="H242" s="8" t="n">
        <x:v>687739.8</x:v>
      </x:c>
      <x:c r="I242" t="str">
        <x:v>2026-04-22</x:v>
      </x:c>
      <x:c r="J242" t="str">
        <x:v>2026-04-23</x:v>
      </x:c>
      <x:c r="K242" t="n">
        <x:v>1</x:v>
      </x:c>
      <x:c r="L242" t="str">
        <x:v>Partial</x:v>
      </x:c>
      <x:c r="M242" t="str">
        <x:v>Matched</x:v>
      </x:c>
    </x:row>
    <x:row r="243">
      <x:c r="A243" t="str">
        <x:v>PO500241</x:v>
      </x:c>
      <x:c r="B243" t="str">
        <x:v>2026-05-04</x:v>
      </x:c>
      <x:c r="C243" t="str">
        <x:v>V1025</x:v>
      </x:c>
      <x:c r="D243" t="str">
        <x:v>MAT2050</x:v>
      </x:c>
      <x:c r="E243" t="n">
        <x:v>181</x:v>
      </x:c>
      <x:c r="F243" t="n">
        <x:v>181</x:v>
      </x:c>
      <x:c r="G243" s="8" t="n">
        <x:v>1694.31</x:v>
      </x:c>
      <x:c r="H243" s="8" t="n">
        <x:v>306670.11</x:v>
      </x:c>
      <x:c r="I243" t="str">
        <x:v>2026-05-09</x:v>
      </x:c>
      <x:c r="J243" t="str">
        <x:v>2026-05-09</x:v>
      </x:c>
      <x:c r="K243" t="n">
        <x:v>0</x:v>
      </x:c>
      <x:c r="L243" t="str">
        <x:v>Complete</x:v>
      </x:c>
      <x:c r="M243" t="str">
        <x:v>Matched</x:v>
      </x:c>
    </x:row>
    <x:row r="244">
      <x:c r="A244" t="str">
        <x:v>PO500242</x:v>
      </x:c>
      <x:c r="B244" t="str">
        <x:v>2026-07-11</x:v>
      </x:c>
      <x:c r="C244" t="str">
        <x:v>V1027</x:v>
      </x:c>
      <x:c r="D244" t="str">
        <x:v>MAT2017</x:v>
      </x:c>
      <x:c r="E244" t="n">
        <x:v>10</x:v>
      </x:c>
      <x:c r="F244" t="n">
        <x:v>10</x:v>
      </x:c>
      <x:c r="G244" s="8" t="n">
        <x:v>2481.93</x:v>
      </x:c>
      <x:c r="H244" s="8" t="n">
        <x:v>24819.3</x:v>
      </x:c>
      <x:c r="I244" t="str">
        <x:v>2026-07-23</x:v>
      </x:c>
      <x:c r="J244" t="str">
        <x:v>2026-07-23</x:v>
      </x:c>
      <x:c r="K244" t="n">
        <x:v>0</x:v>
      </x:c>
      <x:c r="L244" t="str">
        <x:v>Complete</x:v>
      </x:c>
      <x:c r="M244" t="str">
        <x:v>Matched</x:v>
      </x:c>
    </x:row>
    <x:row r="245">
      <x:c r="A245" t="str">
        <x:v>PO500243</x:v>
      </x:c>
      <x:c r="B245" t="str">
        <x:v>2026-08-04</x:v>
      </x:c>
      <x:c r="C245" t="str">
        <x:v>V1012</x:v>
      </x:c>
      <x:c r="D245" t="str">
        <x:v>MAT2030</x:v>
      </x:c>
      <x:c r="E245" t="n">
        <x:v>13</x:v>
      </x:c>
      <x:c r="F245" t="n">
        <x:v>13</x:v>
      </x:c>
      <x:c r="G245" s="8" t="n">
        <x:v>785.14</x:v>
      </x:c>
      <x:c r="H245" s="8" t="n">
        <x:v>10206.82</x:v>
      </x:c>
      <x:c r="I245" t="str">
        <x:v>2026-08-09</x:v>
      </x:c>
      <x:c r="J245" t="str">
        <x:v>2026-08-10</x:v>
      </x:c>
      <x:c r="K245" t="n">
        <x:v>1</x:v>
      </x:c>
      <x:c r="L245" t="str">
        <x:v>Complete</x:v>
      </x:c>
      <x:c r="M245" t="str">
        <x:v>Mismatch</x:v>
      </x:c>
    </x:row>
    <x:row r="246">
      <x:c r="A246" t="str">
        <x:v>PO500244</x:v>
      </x:c>
      <x:c r="B246" t="str">
        <x:v>2026-04-28</x:v>
      </x:c>
      <x:c r="C246" t="str">
        <x:v>V1023</x:v>
      </x:c>
      <x:c r="D246" t="str">
        <x:v>MAT2005</x:v>
      </x:c>
      <x:c r="E246" t="n">
        <x:v>167</x:v>
      </x:c>
      <x:c r="F246" t="n">
        <x:v>167</x:v>
      </x:c>
      <x:c r="G246" s="8" t="n">
        <x:v>2298.61</x:v>
      </x:c>
      <x:c r="H246" s="8" t="n">
        <x:v>383867.87</x:v>
      </x:c>
      <x:c r="I246" t="str">
        <x:v>2026-05-08</x:v>
      </x:c>
      <x:c r="J246" t="str">
        <x:v>2026-05-08</x:v>
      </x:c>
      <x:c r="K246" t="n">
        <x:v>0</x:v>
      </x:c>
      <x:c r="L246" t="str">
        <x:v>Complete</x:v>
      </x:c>
      <x:c r="M246" t="str">
        <x:v>Matched</x:v>
      </x:c>
    </x:row>
    <x:row r="247">
      <x:c r="A247" t="str">
        <x:v>PO500245</x:v>
      </x:c>
      <x:c r="B247" t="str">
        <x:v>2026-02-21</x:v>
      </x:c>
      <x:c r="C247" t="str">
        <x:v>V1029</x:v>
      </x:c>
      <x:c r="D247" t="str">
        <x:v>MAT2031</x:v>
      </x:c>
      <x:c r="E247" t="n">
        <x:v>62</x:v>
      </x:c>
      <x:c r="F247" t="n">
        <x:v>62</x:v>
      </x:c>
      <x:c r="G247" s="8" t="n">
        <x:v>1699.91</x:v>
      </x:c>
      <x:c r="H247" s="8" t="n">
        <x:v>105394.42</x:v>
      </x:c>
      <x:c r="I247" t="str">
        <x:v>2026-03-09</x:v>
      </x:c>
      <x:c r="J247" t="str">
        <x:v>2026-03-09</x:v>
      </x:c>
      <x:c r="K247" t="n">
        <x:v>0</x:v>
      </x:c>
      <x:c r="L247" t="str">
        <x:v>Complete</x:v>
      </x:c>
      <x:c r="M247" t="str">
        <x:v>Mismatch</x:v>
      </x:c>
    </x:row>
    <x:row r="248">
      <x:c r="A248" t="str">
        <x:v>PO500246</x:v>
      </x:c>
      <x:c r="B248" t="str">
        <x:v>2026-08-04</x:v>
      </x:c>
      <x:c r="C248" t="str">
        <x:v>V1029</x:v>
      </x:c>
      <x:c r="D248" t="str">
        <x:v>MAT2003</x:v>
      </x:c>
      <x:c r="E248" t="n">
        <x:v>363</x:v>
      </x:c>
      <x:c r="F248" t="n">
        <x:v>340</x:v>
      </x:c>
      <x:c r="G248" s="8" t="n">
        <x:v>1982.32</x:v>
      </x:c>
      <x:c r="H248" s="8" t="n">
        <x:v>719582.16</x:v>
      </x:c>
      <x:c r="I248" t="str">
        <x:v>2026-08-15</x:v>
      </x:c>
      <x:c r="J248" t="str">
        <x:v>2026-08-15</x:v>
      </x:c>
      <x:c r="K248" t="n">
        <x:v>0</x:v>
      </x:c>
      <x:c r="L248" t="str">
        <x:v>Partial</x:v>
      </x:c>
      <x:c r="M248" t="str">
        <x:v>Pending</x:v>
      </x:c>
    </x:row>
    <x:row r="249">
      <x:c r="A249" t="str">
        <x:v>PO500247</x:v>
      </x:c>
      <x:c r="B249" t="str">
        <x:v>2026-04-20</x:v>
      </x:c>
      <x:c r="C249" t="str">
        <x:v>V1002</x:v>
      </x:c>
      <x:c r="D249" t="str">
        <x:v>MAT2019</x:v>
      </x:c>
      <x:c r="E249" t="n">
        <x:v>148</x:v>
      </x:c>
      <x:c r="F249" t="n">
        <x:v>148</x:v>
      </x:c>
      <x:c r="G249" s="8" t="n">
        <x:v>1006.64</x:v>
      </x:c>
      <x:c r="H249" s="8" t="n">
        <x:v>148982.72</x:v>
      </x:c>
      <x:c r="I249" t="str">
        <x:v>2026-05-10</x:v>
      </x:c>
      <x:c r="J249" t="str">
        <x:v>2026-05-10</x:v>
      </x:c>
      <x:c r="K249" t="n">
        <x:v>0</x:v>
      </x:c>
      <x:c r="L249" t="str">
        <x:v>Complete</x:v>
      </x:c>
      <x:c r="M249" t="str">
        <x:v>Pending</x:v>
      </x:c>
    </x:row>
    <x:row r="250">
      <x:c r="A250" t="str">
        <x:v>PO500248</x:v>
      </x:c>
      <x:c r="B250" t="str">
        <x:v>2026-06-29</x:v>
      </x:c>
      <x:c r="C250" t="str">
        <x:v>V1002</x:v>
      </x:c>
      <x:c r="D250" t="str">
        <x:v>MAT2064</x:v>
      </x:c>
      <x:c r="E250" t="n">
        <x:v>445</x:v>
      </x:c>
      <x:c r="F250" t="n">
        <x:v>419</x:v>
      </x:c>
      <x:c r="G250" s="8" t="n">
        <x:v>148.74</x:v>
      </x:c>
      <x:c r="H250" s="8" t="n">
        <x:v>66189.3</x:v>
      </x:c>
      <x:c r="I250" t="str">
        <x:v>2026-07-05</x:v>
      </x:c>
      <x:c r="J250" t="str">
        <x:v>2026-07-05</x:v>
      </x:c>
      <x:c r="K250" t="n">
        <x:v>0</x:v>
      </x:c>
      <x:c r="L250" t="str">
        <x:v>Partial</x:v>
      </x:c>
      <x:c r="M250" t="str">
        <x:v>Pending</x:v>
      </x:c>
    </x:row>
    <x:row r="251">
      <x:c r="A251" t="str">
        <x:v>PO500249</x:v>
      </x:c>
      <x:c r="B251" t="str">
        <x:v>2026-07-21</x:v>
      </x:c>
      <x:c r="C251" t="str">
        <x:v>V1021</x:v>
      </x:c>
      <x:c r="D251" t="str">
        <x:v>MAT2016</x:v>
      </x:c>
      <x:c r="E251" t="n">
        <x:v>146</x:v>
      </x:c>
      <x:c r="F251" t="n">
        <x:v>146</x:v>
      </x:c>
      <x:c r="G251" s="8" t="n">
        <x:v>1812.28</x:v>
      </x:c>
      <x:c r="H251" s="8" t="n">
        <x:v>264592.88</x:v>
      </x:c>
      <x:c r="I251" t="str">
        <x:v>2026-08-03</x:v>
      </x:c>
      <x:c r="J251" t="str">
        <x:v>2026-08-03</x:v>
      </x:c>
      <x:c r="K251" t="n">
        <x:v>0</x:v>
      </x:c>
      <x:c r="L251" t="str">
        <x:v>Complete</x:v>
      </x:c>
      <x:c r="M251" t="str">
        <x:v>Matched</x:v>
      </x:c>
    </x:row>
    <x:row r="252">
      <x:c r="A252" t="str">
        <x:v>PO500250</x:v>
      </x:c>
      <x:c r="B252" t="str">
        <x:v>2026-02-13</x:v>
      </x:c>
      <x:c r="C252" t="str">
        <x:v>V1000</x:v>
      </x:c>
      <x:c r="D252" t="str">
        <x:v>MAT2031</x:v>
      </x:c>
      <x:c r="E252" t="n">
        <x:v>492</x:v>
      </x:c>
      <x:c r="F252" t="n">
        <x:v>456</x:v>
      </x:c>
      <x:c r="G252" s="8" t="n">
        <x:v>1462.96</x:v>
      </x:c>
      <x:c r="H252" s="8" t="n">
        <x:v>719776.32</x:v>
      </x:c>
      <x:c r="I252" t="str">
        <x:v>2026-03-02</x:v>
      </x:c>
      <x:c r="J252" t="str">
        <x:v>2026-03-02</x:v>
      </x:c>
      <x:c r="K252" t="n">
        <x:v>0</x:v>
      </x:c>
      <x:c r="L252" t="str">
        <x:v>Partial</x:v>
      </x:c>
      <x:c r="M252" t="str">
        <x:v>Matched</x:v>
      </x:c>
    </x:row>
    <x:row r="253">
      <x:c r="A253" t="str">
        <x:v>PO500251</x:v>
      </x:c>
      <x:c r="B253" t="str">
        <x:v>2026-07-01</x:v>
      </x:c>
      <x:c r="C253" t="str">
        <x:v>V1023</x:v>
      </x:c>
      <x:c r="D253" t="str">
        <x:v>MAT2022</x:v>
      </x:c>
      <x:c r="E253" t="n">
        <x:v>255</x:v>
      </x:c>
      <x:c r="F253" t="n">
        <x:v>246</x:v>
      </x:c>
      <x:c r="G253" s="8" t="n">
        <x:v>2103.63</x:v>
      </x:c>
      <x:c r="H253" s="8" t="n">
        <x:v>536425.65</x:v>
      </x:c>
      <x:c r="I253" t="str">
        <x:v>2026-07-16</x:v>
      </x:c>
      <x:c r="J253" t="str">
        <x:v>2026-07-21</x:v>
      </x:c>
      <x:c r="K253" t="n">
        <x:v>5</x:v>
      </x:c>
      <x:c r="L253" t="str">
        <x:v>Partial</x:v>
      </x:c>
      <x:c r="M253" t="str">
        <x:v>Mismatch</x:v>
      </x:c>
    </x:row>
    <x:row r="254">
      <x:c r="A254" t="str">
        <x:v>PO500252</x:v>
      </x:c>
      <x:c r="B254" t="str">
        <x:v>2026-07-23</x:v>
      </x:c>
      <x:c r="C254" t="str">
        <x:v>V1002</x:v>
      </x:c>
      <x:c r="D254" t="str">
        <x:v>MAT2010</x:v>
      </x:c>
      <x:c r="E254" t="n">
        <x:v>470</x:v>
      </x:c>
      <x:c r="F254" t="n">
        <x:v>470</x:v>
      </x:c>
      <x:c r="G254" s="8" t="n">
        <x:v>1489.69</x:v>
      </x:c>
      <x:c r="H254" s="8" t="n">
        <x:v>700154.3</x:v>
      </x:c>
      <x:c r="I254" t="str">
        <x:v>2026-07-26</x:v>
      </x:c>
      <x:c r="J254" t="str">
        <x:v>2026-07-26</x:v>
      </x:c>
      <x:c r="K254" t="n">
        <x:v>0</x:v>
      </x:c>
      <x:c r="L254" t="str">
        <x:v>Complete</x:v>
      </x:c>
      <x:c r="M254" t="str">
        <x:v>Matched</x:v>
      </x:c>
    </x:row>
    <x:row r="255">
      <x:c r="A255" t="str">
        <x:v>PO500253</x:v>
      </x:c>
      <x:c r="B255" t="str">
        <x:v>2026-03-10</x:v>
      </x:c>
      <x:c r="C255" t="str">
        <x:v>V1026</x:v>
      </x:c>
      <x:c r="D255" t="str">
        <x:v>MAT2000</x:v>
      </x:c>
      <x:c r="E255" t="n">
        <x:v>203</x:v>
      </x:c>
      <x:c r="F255" t="n">
        <x:v>203</x:v>
      </x:c>
      <x:c r="G255" s="8" t="n">
        <x:v>826.67</x:v>
      </x:c>
      <x:c r="H255" s="8" t="n">
        <x:v>167814.01</x:v>
      </x:c>
      <x:c r="I255" t="str">
        <x:v>2026-03-18</x:v>
      </x:c>
      <x:c r="J255" t="str">
        <x:v>2026-03-18</x:v>
      </x:c>
      <x:c r="K255" t="n">
        <x:v>0</x:v>
      </x:c>
      <x:c r="L255" t="str">
        <x:v>Complete</x:v>
      </x:c>
      <x:c r="M255" t="str">
        <x:v>Matched</x:v>
      </x:c>
    </x:row>
    <x:row r="256">
      <x:c r="A256" t="str">
        <x:v>PO500254</x:v>
      </x:c>
      <x:c r="B256" t="str">
        <x:v>2026-07-29</x:v>
      </x:c>
      <x:c r="C256" t="str">
        <x:v>V1023</x:v>
      </x:c>
      <x:c r="D256" t="str">
        <x:v>MAT2074</x:v>
      </x:c>
      <x:c r="E256" t="n">
        <x:v>458</x:v>
      </x:c>
      <x:c r="F256" t="n">
        <x:v>458</x:v>
      </x:c>
      <x:c r="G256" s="8" t="n">
        <x:v>1511.59</x:v>
      </x:c>
      <x:c r="H256" s="8" t="n">
        <x:v>692308.22</x:v>
      </x:c>
      <x:c r="I256" t="str">
        <x:v>2026-08-06</x:v>
      </x:c>
      <x:c r="J256" t="str">
        <x:v>2026-08-06</x:v>
      </x:c>
      <x:c r="K256" t="n">
        <x:v>0</x:v>
      </x:c>
      <x:c r="L256" t="str">
        <x:v>Complete</x:v>
      </x:c>
      <x:c r="M256" t="str">
        <x:v>Matched</x:v>
      </x:c>
    </x:row>
    <x:row r="257">
      <x:c r="A257" t="str">
        <x:v>PO500255</x:v>
      </x:c>
      <x:c r="B257" t="str">
        <x:v>2026-03-20</x:v>
      </x:c>
      <x:c r="C257" t="str">
        <x:v>V1004</x:v>
      </x:c>
      <x:c r="D257" t="str">
        <x:v>MAT2031</x:v>
      </x:c>
      <x:c r="E257" t="n">
        <x:v>265</x:v>
      </x:c>
      <x:c r="F257" t="n">
        <x:v>265</x:v>
      </x:c>
      <x:c r="G257" s="8" t="n">
        <x:v>2481.6</x:v>
      </x:c>
      <x:c r="H257" s="8" t="n">
        <x:v>657624</x:v>
      </x:c>
      <x:c r="I257" t="str">
        <x:v>2026-03-23</x:v>
      </x:c>
      <x:c r="J257" t="str">
        <x:v>2026-03-23</x:v>
      </x:c>
      <x:c r="K257" t="n">
        <x:v>0</x:v>
      </x:c>
      <x:c r="L257" t="str">
        <x:v>Complete</x:v>
      </x:c>
      <x:c r="M257" t="str">
        <x:v>Matched</x:v>
      </x:c>
    </x:row>
    <x:row r="258">
      <x:c r="A258" t="str">
        <x:v>PO500256</x:v>
      </x:c>
      <x:c r="B258" t="str">
        <x:v>2026-02-27</x:v>
      </x:c>
      <x:c r="C258" t="str">
        <x:v>V1005</x:v>
      </x:c>
      <x:c r="D258" t="str">
        <x:v>MAT2063</x:v>
      </x:c>
      <x:c r="E258" t="n">
        <x:v>26</x:v>
      </x:c>
      <x:c r="F258" t="n">
        <x:v>26</x:v>
      </x:c>
      <x:c r="G258" s="8" t="n">
        <x:v>1196.52</x:v>
      </x:c>
      <x:c r="H258" s="8" t="n">
        <x:v>31109.52</x:v>
      </x:c>
      <x:c r="I258" t="str">
        <x:v>2026-03-17</x:v>
      </x:c>
      <x:c r="J258" t="str">
        <x:v>2026-03-20</x:v>
      </x:c>
      <x:c r="K258" t="n">
        <x:v>3</x:v>
      </x:c>
      <x:c r="L258" t="str">
        <x:v>Complete</x:v>
      </x:c>
      <x:c r="M258" t="str">
        <x:v>Matched</x:v>
      </x:c>
    </x:row>
    <x:row r="259">
      <x:c r="A259" t="str">
        <x:v>PO500257</x:v>
      </x:c>
      <x:c r="B259" t="str">
        <x:v>2026-03-27</x:v>
      </x:c>
      <x:c r="C259" t="str">
        <x:v>V1026</x:v>
      </x:c>
      <x:c r="D259" t="str">
        <x:v>MAT2074</x:v>
      </x:c>
      <x:c r="E259" t="n">
        <x:v>305</x:v>
      </x:c>
      <x:c r="F259" t="n">
        <x:v>305</x:v>
      </x:c>
      <x:c r="G259" s="8" t="n">
        <x:v>1160.66</x:v>
      </x:c>
      <x:c r="H259" s="8" t="n">
        <x:v>354001.3</x:v>
      </x:c>
      <x:c r="I259" t="str">
        <x:v>2026-04-12</x:v>
      </x:c>
      <x:c r="J259" t="str">
        <x:v>2026-04-17</x:v>
      </x:c>
      <x:c r="K259" t="n">
        <x:v>5</x:v>
      </x:c>
      <x:c r="L259" t="str">
        <x:v>Complete</x:v>
      </x:c>
      <x:c r="M259" t="str">
        <x:v>Pending</x:v>
      </x:c>
    </x:row>
    <x:row r="260">
      <x:c r="A260" t="str">
        <x:v>PO500258</x:v>
      </x:c>
      <x:c r="B260" t="str">
        <x:v>2026-08-13</x:v>
      </x:c>
      <x:c r="C260" t="str">
        <x:v>V1025</x:v>
      </x:c>
      <x:c r="D260" t="str">
        <x:v>MAT2013</x:v>
      </x:c>
      <x:c r="E260" t="n">
        <x:v>372</x:v>
      </x:c>
      <x:c r="F260" t="n">
        <x:v>360</x:v>
      </x:c>
      <x:c r="G260" s="8" t="n">
        <x:v>1817.54</x:v>
      </x:c>
      <x:c r="H260" s="8" t="n">
        <x:v>676124.88</x:v>
      </x:c>
      <x:c r="I260" t="str">
        <x:v>2026-08-20</x:v>
      </x:c>
      <x:c r="J260" t="str">
        <x:v>2026-08-20</x:v>
      </x:c>
      <x:c r="K260" t="n">
        <x:v>0</x:v>
      </x:c>
      <x:c r="L260" t="str">
        <x:v>Partial</x:v>
      </x:c>
      <x:c r="M260" t="str">
        <x:v>Mismatch</x:v>
      </x:c>
    </x:row>
    <x:row r="261">
      <x:c r="A261" t="str">
        <x:v>PO500259</x:v>
      </x:c>
      <x:c r="B261" t="str">
        <x:v>2026-07-30</x:v>
      </x:c>
      <x:c r="C261" t="str">
        <x:v>V1010</x:v>
      </x:c>
      <x:c r="D261" t="str">
        <x:v>MAT2052</x:v>
      </x:c>
      <x:c r="E261" t="n">
        <x:v>47</x:v>
      </x:c>
      <x:c r="F261" t="n">
        <x:v>47</x:v>
      </x:c>
      <x:c r="G261" s="8" t="n">
        <x:v>1657.62</x:v>
      </x:c>
      <x:c r="H261" s="8" t="n">
        <x:v>77908.14</x:v>
      </x:c>
      <x:c r="I261" t="str">
        <x:v>2026-08-18</x:v>
      </x:c>
      <x:c r="J261" t="str">
        <x:v>2026-08-18</x:v>
      </x:c>
      <x:c r="K261" t="n">
        <x:v>0</x:v>
      </x:c>
      <x:c r="L261" t="str">
        <x:v>Complete</x:v>
      </x:c>
      <x:c r="M261" t="str">
        <x:v>Matched</x:v>
      </x:c>
    </x:row>
    <x:row r="262">
      <x:c r="A262" t="str">
        <x:v>PO500260</x:v>
      </x:c>
      <x:c r="B262" t="str">
        <x:v>2026-07-31</x:v>
      </x:c>
      <x:c r="C262" t="str">
        <x:v>V1017</x:v>
      </x:c>
      <x:c r="D262" t="str">
        <x:v>MAT2030</x:v>
      </x:c>
      <x:c r="E262" t="n">
        <x:v>130</x:v>
      </x:c>
      <x:c r="F262" t="n">
        <x:v>130</x:v>
      </x:c>
      <x:c r="G262" s="8" t="n">
        <x:v>2301.51</x:v>
      </x:c>
      <x:c r="H262" s="8" t="n">
        <x:v>299196.3</x:v>
      </x:c>
      <x:c r="I262" t="str">
        <x:v>2026-08-11</x:v>
      </x:c>
      <x:c r="J262" t="str">
        <x:v>2026-08-11</x:v>
      </x:c>
      <x:c r="K262" t="n">
        <x:v>0</x:v>
      </x:c>
      <x:c r="L262" t="str">
        <x:v>Complete</x:v>
      </x:c>
      <x:c r="M262" t="str">
        <x:v>Pending</x:v>
      </x:c>
    </x:row>
    <x:row r="263">
      <x:c r="A263" t="str">
        <x:v>PO500261</x:v>
      </x:c>
      <x:c r="B263" t="str">
        <x:v>2026-02-25</x:v>
      </x:c>
      <x:c r="C263" t="str">
        <x:v>V1022</x:v>
      </x:c>
      <x:c r="D263" t="str">
        <x:v>MAT2073</x:v>
      </x:c>
      <x:c r="E263" t="n">
        <x:v>316</x:v>
      </x:c>
      <x:c r="F263" t="n">
        <x:v>289</x:v>
      </x:c>
      <x:c r="G263" s="8" t="n">
        <x:v>863.78</x:v>
      </x:c>
      <x:c r="H263" s="8" t="n">
        <x:v>272954.48</x:v>
      </x:c>
      <x:c r="I263" t="str">
        <x:v>2026-03-11</x:v>
      </x:c>
      <x:c r="J263" t="str">
        <x:v>2026-03-11</x:v>
      </x:c>
      <x:c r="K263" t="n">
        <x:v>0</x:v>
      </x:c>
      <x:c r="L263" t="str">
        <x:v>Partial</x:v>
      </x:c>
      <x:c r="M263" t="str">
        <x:v>Matched</x:v>
      </x:c>
    </x:row>
    <x:row r="264">
      <x:c r="A264" t="str">
        <x:v>PO500262</x:v>
      </x:c>
      <x:c r="B264" t="str">
        <x:v>2026-05-22</x:v>
      </x:c>
      <x:c r="C264" t="str">
        <x:v>V1009</x:v>
      </x:c>
      <x:c r="D264" t="str">
        <x:v>MAT2042</x:v>
      </x:c>
      <x:c r="E264" t="n">
        <x:v>134</x:v>
      </x:c>
      <x:c r="F264" t="n">
        <x:v>134</x:v>
      </x:c>
      <x:c r="G264" s="8" t="n">
        <x:v>2011.11</x:v>
      </x:c>
      <x:c r="H264" s="8" t="n">
        <x:v>269488.74</x:v>
      </x:c>
      <x:c r="I264" t="str">
        <x:v>2026-06-03</x:v>
      </x:c>
      <x:c r="J264" t="str">
        <x:v>2026-06-06</x:v>
      </x:c>
      <x:c r="K264" t="n">
        <x:v>3</x:v>
      </x:c>
      <x:c r="L264" t="str">
        <x:v>Complete</x:v>
      </x:c>
      <x:c r="M264" t="str">
        <x:v>Mismatch</x:v>
      </x:c>
    </x:row>
    <x:row r="265">
      <x:c r="A265" t="str">
        <x:v>PO500263</x:v>
      </x:c>
      <x:c r="B265" t="str">
        <x:v>2026-02-23</x:v>
      </x:c>
      <x:c r="C265" t="str">
        <x:v>V1015</x:v>
      </x:c>
      <x:c r="D265" t="str">
        <x:v>MAT2064</x:v>
      </x:c>
      <x:c r="E265" t="n">
        <x:v>29</x:v>
      </x:c>
      <x:c r="F265" t="n">
        <x:v>29</x:v>
      </x:c>
      <x:c r="G265" s="8" t="n">
        <x:v>510.4</x:v>
      </x:c>
      <x:c r="H265" s="8" t="n">
        <x:v>14801.6</x:v>
      </x:c>
      <x:c r="I265" t="str">
        <x:v>2026-03-03</x:v>
      </x:c>
      <x:c r="J265" t="str">
        <x:v>2026-03-03</x:v>
      </x:c>
      <x:c r="K265" t="n">
        <x:v>0</x:v>
      </x:c>
      <x:c r="L265" t="str">
        <x:v>Complete</x:v>
      </x:c>
      <x:c r="M265" t="str">
        <x:v>Mismatch</x:v>
      </x:c>
    </x:row>
    <x:row r="266">
      <x:c r="A266" t="str">
        <x:v>PO500264</x:v>
      </x:c>
      <x:c r="B266" t="str">
        <x:v>2026-01-11</x:v>
      </x:c>
      <x:c r="C266" t="str">
        <x:v>V1029</x:v>
      </x:c>
      <x:c r="D266" t="str">
        <x:v>MAT2076</x:v>
      </x:c>
      <x:c r="E266" t="n">
        <x:v>386</x:v>
      </x:c>
      <x:c r="F266" t="n">
        <x:v>386</x:v>
      </x:c>
      <x:c r="G266" s="8" t="n">
        <x:v>1951.6</x:v>
      </x:c>
      <x:c r="H266" s="8" t="n">
        <x:v>753317.6</x:v>
      </x:c>
      <x:c r="I266" t="str">
        <x:v>2026-01-23</x:v>
      </x:c>
      <x:c r="J266" t="str">
        <x:v>2026-01-23</x:v>
      </x:c>
      <x:c r="K266" t="n">
        <x:v>0</x:v>
      </x:c>
      <x:c r="L266" t="str">
        <x:v>Complete</x:v>
      </x:c>
      <x:c r="M266" t="str">
        <x:v>Mismatch</x:v>
      </x:c>
    </x:row>
    <x:row r="267">
      <x:c r="A267" t="str">
        <x:v>PO500265</x:v>
      </x:c>
      <x:c r="B267" t="str">
        <x:v>2026-02-11</x:v>
      </x:c>
      <x:c r="C267" t="str">
        <x:v>V1019</x:v>
      </x:c>
      <x:c r="D267" t="str">
        <x:v>MAT2060</x:v>
      </x:c>
      <x:c r="E267" t="n">
        <x:v>288</x:v>
      </x:c>
      <x:c r="F267" t="n">
        <x:v>288</x:v>
      </x:c>
      <x:c r="G267" s="8" t="n">
        <x:v>2336.52</x:v>
      </x:c>
      <x:c r="H267" s="8" t="n">
        <x:v>672917.76</x:v>
      </x:c>
      <x:c r="I267" t="str">
        <x:v>2026-02-20</x:v>
      </x:c>
      <x:c r="J267" t="str">
        <x:v>2026-02-20</x:v>
      </x:c>
      <x:c r="K267" t="n">
        <x:v>0</x:v>
      </x:c>
      <x:c r="L267" t="str">
        <x:v>Complete</x:v>
      </x:c>
      <x:c r="M267" t="str">
        <x:v>Pending</x:v>
      </x:c>
    </x:row>
    <x:row r="268">
      <x:c r="A268" t="str">
        <x:v>PO500266</x:v>
      </x:c>
      <x:c r="B268" t="str">
        <x:v>2026-04-23</x:v>
      </x:c>
      <x:c r="C268" t="str">
        <x:v>V1020</x:v>
      </x:c>
      <x:c r="D268" t="str">
        <x:v>MAT2053</x:v>
      </x:c>
      <x:c r="E268" t="n">
        <x:v>499</x:v>
      </x:c>
      <x:c r="F268" t="n">
        <x:v>499</x:v>
      </x:c>
      <x:c r="G268" s="8" t="n">
        <x:v>1523.48</x:v>
      </x:c>
      <x:c r="H268" s="8" t="n">
        <x:v>760216.52</x:v>
      </x:c>
      <x:c r="I268" t="str">
        <x:v>2026-05-11</x:v>
      </x:c>
      <x:c r="J268" t="str">
        <x:v>2026-05-12</x:v>
      </x:c>
      <x:c r="K268" t="n">
        <x:v>1</x:v>
      </x:c>
      <x:c r="L268" t="str">
        <x:v>Complete</x:v>
      </x:c>
      <x:c r="M268" t="str">
        <x:v>Mismatch</x:v>
      </x:c>
    </x:row>
    <x:row r="269">
      <x:c r="A269" t="str">
        <x:v>PO500267</x:v>
      </x:c>
      <x:c r="B269" t="str">
        <x:v>2026-03-08</x:v>
      </x:c>
      <x:c r="C269" t="str">
        <x:v>V1017</x:v>
      </x:c>
      <x:c r="D269" t="str">
        <x:v>MAT2053</x:v>
      </x:c>
      <x:c r="E269" t="n">
        <x:v>323</x:v>
      </x:c>
      <x:c r="F269" t="n">
        <x:v>323</x:v>
      </x:c>
      <x:c r="G269" s="8" t="n">
        <x:v>231.69</x:v>
      </x:c>
      <x:c r="H269" s="8" t="n">
        <x:v>74835.87</x:v>
      </x:c>
      <x:c r="I269" t="str">
        <x:v>2026-03-21</x:v>
      </x:c>
      <x:c r="J269" t="str">
        <x:v>2026-03-21</x:v>
      </x:c>
      <x:c r="K269" t="n">
        <x:v>0</x:v>
      </x:c>
      <x:c r="L269" t="str">
        <x:v>Complete</x:v>
      </x:c>
      <x:c r="M269" t="str">
        <x:v>Matched</x:v>
      </x:c>
    </x:row>
    <x:row r="270">
      <x:c r="A270" t="str">
        <x:v>PO500268</x:v>
      </x:c>
      <x:c r="B270" t="str">
        <x:v>2026-02-11</x:v>
      </x:c>
      <x:c r="C270" t="str">
        <x:v>V1010</x:v>
      </x:c>
      <x:c r="D270" t="str">
        <x:v>MAT2060</x:v>
      </x:c>
      <x:c r="E270" t="n">
        <x:v>379</x:v>
      </x:c>
      <x:c r="F270" t="n">
        <x:v>379</x:v>
      </x:c>
      <x:c r="G270" s="8" t="n">
        <x:v>1743.29</x:v>
      </x:c>
      <x:c r="H270" s="8" t="n">
        <x:v>660706.91</x:v>
      </x:c>
      <x:c r="I270" t="str">
        <x:v>2026-02-28</x:v>
      </x:c>
      <x:c r="J270" t="str">
        <x:v>2026-02-28</x:v>
      </x:c>
      <x:c r="K270" t="n">
        <x:v>0</x:v>
      </x:c>
      <x:c r="L270" t="str">
        <x:v>Complete</x:v>
      </x:c>
      <x:c r="M270" t="str">
        <x:v>Matched</x:v>
      </x:c>
    </x:row>
    <x:row r="271">
      <x:c r="A271" t="str">
        <x:v>PO500269</x:v>
      </x:c>
      <x:c r="B271" t="str">
        <x:v>2026-04-27</x:v>
      </x:c>
      <x:c r="C271" t="str">
        <x:v>V1003</x:v>
      </x:c>
      <x:c r="D271" t="str">
        <x:v>MAT2022</x:v>
      </x:c>
      <x:c r="E271" t="n">
        <x:v>30</x:v>
      </x:c>
      <x:c r="F271" t="n">
        <x:v>28</x:v>
      </x:c>
      <x:c r="G271" s="8" t="n">
        <x:v>1641.04</x:v>
      </x:c>
      <x:c r="H271" s="8" t="n">
        <x:v>49231.2</x:v>
      </x:c>
      <x:c r="I271" t="str">
        <x:v>2026-05-16</x:v>
      </x:c>
      <x:c r="J271" t="str">
        <x:v>2026-05-18</x:v>
      </x:c>
      <x:c r="K271" t="n">
        <x:v>2</x:v>
      </x:c>
      <x:c r="L271" t="str">
        <x:v>Partial</x:v>
      </x:c>
      <x:c r="M271" t="str">
        <x:v>Matched</x:v>
      </x:c>
    </x:row>
    <x:row r="272">
      <x:c r="A272" t="str">
        <x:v>PO500270</x:v>
      </x:c>
      <x:c r="B272" t="str">
        <x:v>2026-02-14</x:v>
      </x:c>
      <x:c r="C272" t="str">
        <x:v>V1002</x:v>
      </x:c>
      <x:c r="D272" t="str">
        <x:v>MAT2009</x:v>
      </x:c>
      <x:c r="E272" t="n">
        <x:v>452</x:v>
      </x:c>
      <x:c r="F272" t="n">
        <x:v>452</x:v>
      </x:c>
      <x:c r="G272" s="8" t="n">
        <x:v>1011.86</x:v>
      </x:c>
      <x:c r="H272" s="8" t="n">
        <x:v>457360.72</x:v>
      </x:c>
      <x:c r="I272" t="str">
        <x:v>2026-02-17</x:v>
      </x:c>
      <x:c r="J272" t="str">
        <x:v>2026-02-17</x:v>
      </x:c>
      <x:c r="K272" t="n">
        <x:v>0</x:v>
      </x:c>
      <x:c r="L272" t="str">
        <x:v>Complete</x:v>
      </x:c>
      <x:c r="M272" t="str">
        <x:v>Pending</x:v>
      </x:c>
    </x:row>
    <x:row r="273">
      <x:c r="A273" t="str">
        <x:v>PO500271</x:v>
      </x:c>
      <x:c r="B273" t="str">
        <x:v>2026-03-22</x:v>
      </x:c>
      <x:c r="C273" t="str">
        <x:v>V1010</x:v>
      </x:c>
      <x:c r="D273" t="str">
        <x:v>MAT2041</x:v>
      </x:c>
      <x:c r="E273" t="n">
        <x:v>439</x:v>
      </x:c>
      <x:c r="F273" t="n">
        <x:v>439</x:v>
      </x:c>
      <x:c r="G273" s="8" t="n">
        <x:v>1678.82</x:v>
      </x:c>
      <x:c r="H273" s="8" t="n">
        <x:v>737001.98</x:v>
      </x:c>
      <x:c r="I273" t="str">
        <x:v>2026-04-07</x:v>
      </x:c>
      <x:c r="J273" t="str">
        <x:v>2026-04-07</x:v>
      </x:c>
      <x:c r="K273" t="n">
        <x:v>0</x:v>
      </x:c>
      <x:c r="L273" t="str">
        <x:v>Complete</x:v>
      </x:c>
      <x:c r="M273" t="str">
        <x:v>Matched</x:v>
      </x:c>
    </x:row>
    <x:row r="274">
      <x:c r="A274" t="str">
        <x:v>PO500272</x:v>
      </x:c>
      <x:c r="B274" t="str">
        <x:v>2026-05-11</x:v>
      </x:c>
      <x:c r="C274" t="str">
        <x:v>V1008</x:v>
      </x:c>
      <x:c r="D274" t="str">
        <x:v>MAT2044</x:v>
      </x:c>
      <x:c r="E274" t="n">
        <x:v>155</x:v>
      </x:c>
      <x:c r="F274" t="n">
        <x:v>155</x:v>
      </x:c>
      <x:c r="G274" s="8" t="n">
        <x:v>28.85</x:v>
      </x:c>
      <x:c r="H274" s="8" t="n">
        <x:v>4471.75</x:v>
      </x:c>
      <x:c r="I274" t="str">
        <x:v>2026-05-27</x:v>
      </x:c>
      <x:c r="J274" t="str">
        <x:v>2026-05-27</x:v>
      </x:c>
      <x:c r="K274" t="n">
        <x:v>0</x:v>
      </x:c>
      <x:c r="L274" t="str">
        <x:v>Complete</x:v>
      </x:c>
      <x:c r="M274" t="str">
        <x:v>Matched</x:v>
      </x:c>
    </x:row>
    <x:row r="275">
      <x:c r="A275" t="str">
        <x:v>PO500273</x:v>
      </x:c>
      <x:c r="B275" t="str">
        <x:v>2026-07-02</x:v>
      </x:c>
      <x:c r="C275" t="str">
        <x:v>V1005</x:v>
      </x:c>
      <x:c r="D275" t="str">
        <x:v>MAT2019</x:v>
      </x:c>
      <x:c r="E275" t="n">
        <x:v>381</x:v>
      </x:c>
      <x:c r="F275" t="n">
        <x:v>381</x:v>
      </x:c>
      <x:c r="G275" s="8" t="n">
        <x:v>1877.73</x:v>
      </x:c>
      <x:c r="H275" s="8" t="n">
        <x:v>715415.13</x:v>
      </x:c>
      <x:c r="I275" t="str">
        <x:v>2026-07-20</x:v>
      </x:c>
      <x:c r="J275" t="str">
        <x:v>2026-07-22</x:v>
      </x:c>
      <x:c r="K275" t="n">
        <x:v>2</x:v>
      </x:c>
      <x:c r="L275" t="str">
        <x:v>Complete</x:v>
      </x:c>
      <x:c r="M275" t="str">
        <x:v>Pending</x:v>
      </x:c>
    </x:row>
    <x:row r="276">
      <x:c r="A276" t="str">
        <x:v>PO500274</x:v>
      </x:c>
      <x:c r="B276" t="str">
        <x:v>2026-03-14</x:v>
      </x:c>
      <x:c r="C276" t="str">
        <x:v>V1018</x:v>
      </x:c>
      <x:c r="D276" t="str">
        <x:v>MAT2019</x:v>
      </x:c>
      <x:c r="E276" t="n">
        <x:v>442</x:v>
      </x:c>
      <x:c r="F276" t="n">
        <x:v>442</x:v>
      </x:c>
      <x:c r="G276" s="8" t="n">
        <x:v>98.31</x:v>
      </x:c>
      <x:c r="H276" s="8" t="n">
        <x:v>43453.02</x:v>
      </x:c>
      <x:c r="I276" t="str">
        <x:v>2026-04-03</x:v>
      </x:c>
      <x:c r="J276" t="str">
        <x:v>2026-04-03</x:v>
      </x:c>
      <x:c r="K276" t="n">
        <x:v>0</x:v>
      </x:c>
      <x:c r="L276" t="str">
        <x:v>Complete</x:v>
      </x:c>
      <x:c r="M276" t="str">
        <x:v>Mismatch</x:v>
      </x:c>
    </x:row>
    <x:row r="277">
      <x:c r="A277" t="str">
        <x:v>PO500275</x:v>
      </x:c>
      <x:c r="B277" t="str">
        <x:v>2026-05-24</x:v>
      </x:c>
      <x:c r="C277" t="str">
        <x:v>V1024</x:v>
      </x:c>
      <x:c r="D277" t="str">
        <x:v>MAT2016</x:v>
      </x:c>
      <x:c r="E277" t="n">
        <x:v>239</x:v>
      </x:c>
      <x:c r="F277" t="n">
        <x:v>239</x:v>
      </x:c>
      <x:c r="G277" s="8" t="n">
        <x:v>1368.42</x:v>
      </x:c>
      <x:c r="H277" s="8" t="n">
        <x:v>327052.38</x:v>
      </x:c>
      <x:c r="I277" t="str">
        <x:v>2026-06-01</x:v>
      </x:c>
      <x:c r="J277" t="str">
        <x:v>2026-06-02</x:v>
      </x:c>
      <x:c r="K277" t="n">
        <x:v>1</x:v>
      </x:c>
      <x:c r="L277" t="str">
        <x:v>Complete</x:v>
      </x:c>
      <x:c r="M277" t="str">
        <x:v>Matched</x:v>
      </x:c>
    </x:row>
    <x:row r="278">
      <x:c r="A278" t="str">
        <x:v>PO500276</x:v>
      </x:c>
      <x:c r="B278" t="str">
        <x:v>2026-06-17</x:v>
      </x:c>
      <x:c r="C278" t="str">
        <x:v>V1034</x:v>
      </x:c>
      <x:c r="D278" t="str">
        <x:v>MAT2005</x:v>
      </x:c>
      <x:c r="E278" t="n">
        <x:v>223</x:v>
      </x:c>
      <x:c r="F278" t="n">
        <x:v>223</x:v>
      </x:c>
      <x:c r="G278" s="8" t="n">
        <x:v>51.15</x:v>
      </x:c>
      <x:c r="H278" s="8" t="n">
        <x:v>11406.45</x:v>
      </x:c>
      <x:c r="I278" t="str">
        <x:v>2026-06-26</x:v>
      </x:c>
      <x:c r="J278" t="str">
        <x:v>2026-06-26</x:v>
      </x:c>
      <x:c r="K278" t="n">
        <x:v>0</x:v>
      </x:c>
      <x:c r="L278" t="str">
        <x:v>Complete</x:v>
      </x:c>
      <x:c r="M278" t="str">
        <x:v>Mismatch</x:v>
      </x:c>
    </x:row>
    <x:row r="279">
      <x:c r="A279" t="str">
        <x:v>PO500277</x:v>
      </x:c>
      <x:c r="B279" t="str">
        <x:v>2026-06-03</x:v>
      </x:c>
      <x:c r="C279" t="str">
        <x:v>V1015</x:v>
      </x:c>
      <x:c r="D279" t="str">
        <x:v>MAT2069</x:v>
      </x:c>
      <x:c r="E279" t="n">
        <x:v>61</x:v>
      </x:c>
      <x:c r="F279" t="n">
        <x:v>57</x:v>
      </x:c>
      <x:c r="G279" s="8" t="n">
        <x:v>385.58</x:v>
      </x:c>
      <x:c r="H279" s="8" t="n">
        <x:v>23520.38</x:v>
      </x:c>
      <x:c r="I279" t="str">
        <x:v>2026-06-22</x:v>
      </x:c>
      <x:c r="J279" t="str">
        <x:v>2026-06-22</x:v>
      </x:c>
      <x:c r="K279" t="n">
        <x:v>0</x:v>
      </x:c>
      <x:c r="L279" t="str">
        <x:v>Partial</x:v>
      </x:c>
      <x:c r="M279" t="str">
        <x:v>Matched</x:v>
      </x:c>
    </x:row>
    <x:row r="280">
      <x:c r="A280" t="str">
        <x:v>PO500278</x:v>
      </x:c>
      <x:c r="B280" t="str">
        <x:v>2026-04-02</x:v>
      </x:c>
      <x:c r="C280" t="str">
        <x:v>V1004</x:v>
      </x:c>
      <x:c r="D280" t="str">
        <x:v>MAT2005</x:v>
      </x:c>
      <x:c r="E280" t="n">
        <x:v>404</x:v>
      </x:c>
      <x:c r="F280" t="n">
        <x:v>404</x:v>
      </x:c>
      <x:c r="G280" s="8" t="n">
        <x:v>1548.89</x:v>
      </x:c>
      <x:c r="H280" s="8" t="n">
        <x:v>625751.56</x:v>
      </x:c>
      <x:c r="I280" t="str">
        <x:v>2026-04-15</x:v>
      </x:c>
      <x:c r="J280" t="str">
        <x:v>2026-04-16</x:v>
      </x:c>
      <x:c r="K280" t="n">
        <x:v>1</x:v>
      </x:c>
      <x:c r="L280" t="str">
        <x:v>Complete</x:v>
      </x:c>
      <x:c r="M280" t="str">
        <x:v>Pending</x:v>
      </x:c>
    </x:row>
    <x:row r="281">
      <x:c r="A281" t="str">
        <x:v>PO500279</x:v>
      </x:c>
      <x:c r="B281" t="str">
        <x:v>2026-05-04</x:v>
      </x:c>
      <x:c r="C281" t="str">
        <x:v>V1033</x:v>
      </x:c>
      <x:c r="D281" t="str">
        <x:v>MAT2074</x:v>
      </x:c>
      <x:c r="E281" t="n">
        <x:v>75</x:v>
      </x:c>
      <x:c r="F281" t="n">
        <x:v>70</x:v>
      </x:c>
      <x:c r="G281" s="8" t="n">
        <x:v>427.82</x:v>
      </x:c>
      <x:c r="H281" s="8" t="n">
        <x:v>32086.5</x:v>
      </x:c>
      <x:c r="I281" t="str">
        <x:v>2026-05-24</x:v>
      </x:c>
      <x:c r="J281" t="str">
        <x:v>2026-05-24</x:v>
      </x:c>
      <x:c r="K281" t="n">
        <x:v>0</x:v>
      </x:c>
      <x:c r="L281" t="str">
        <x:v>Partial</x:v>
      </x:c>
      <x:c r="M281" t="str">
        <x:v>Mismatch</x:v>
      </x:c>
    </x:row>
    <x:row r="282">
      <x:c r="A282" t="str">
        <x:v>PO500280</x:v>
      </x:c>
      <x:c r="B282" t="str">
        <x:v>2026-05-16</x:v>
      </x:c>
      <x:c r="C282" t="str">
        <x:v>V1025</x:v>
      </x:c>
      <x:c r="D282" t="str">
        <x:v>MAT2001</x:v>
      </x:c>
      <x:c r="E282" t="n">
        <x:v>415</x:v>
      </x:c>
      <x:c r="F282" t="n">
        <x:v>393</x:v>
      </x:c>
      <x:c r="G282" s="8" t="n">
        <x:v>909.08</x:v>
      </x:c>
      <x:c r="H282" s="8" t="n">
        <x:v>377268.2</x:v>
      </x:c>
      <x:c r="I282" t="str">
        <x:v>2026-05-25</x:v>
      </x:c>
      <x:c r="J282" t="str">
        <x:v>2026-05-25</x:v>
      </x:c>
      <x:c r="K282" t="n">
        <x:v>0</x:v>
      </x:c>
      <x:c r="L282" t="str">
        <x:v>Partial</x:v>
      </x:c>
      <x:c r="M282" t="str">
        <x:v>Matched</x:v>
      </x:c>
    </x:row>
    <x:row r="283">
      <x:c r="A283" t="str">
        <x:v>PO500281</x:v>
      </x:c>
      <x:c r="B283" t="str">
        <x:v>2026-03-14</x:v>
      </x:c>
      <x:c r="C283" t="str">
        <x:v>V1013</x:v>
      </x:c>
      <x:c r="D283" t="str">
        <x:v>MAT2038</x:v>
      </x:c>
      <x:c r="E283" t="n">
        <x:v>445</x:v>
      </x:c>
      <x:c r="F283" t="n">
        <x:v>445</x:v>
      </x:c>
      <x:c r="G283" s="8" t="n">
        <x:v>1207.73</x:v>
      </x:c>
      <x:c r="H283" s="8" t="n">
        <x:v>537439.85</x:v>
      </x:c>
      <x:c r="I283" t="str">
        <x:v>2026-03-22</x:v>
      </x:c>
      <x:c r="J283" t="str">
        <x:v>2026-03-22</x:v>
      </x:c>
      <x:c r="K283" t="n">
        <x:v>0</x:v>
      </x:c>
      <x:c r="L283" t="str">
        <x:v>Complete</x:v>
      </x:c>
      <x:c r="M283" t="str">
        <x:v>Matched</x:v>
      </x:c>
    </x:row>
    <x:row r="284">
      <x:c r="A284" t="str">
        <x:v>PO500282</x:v>
      </x:c>
      <x:c r="B284" t="str">
        <x:v>2026-03-14</x:v>
      </x:c>
      <x:c r="C284" t="str">
        <x:v>V1006</x:v>
      </x:c>
      <x:c r="D284" t="str">
        <x:v>MAT2053</x:v>
      </x:c>
      <x:c r="E284" t="n">
        <x:v>120</x:v>
      </x:c>
      <x:c r="F284" t="n">
        <x:v>120</x:v>
      </x:c>
      <x:c r="G284" s="8" t="n">
        <x:v>95.15</x:v>
      </x:c>
      <x:c r="H284" s="8" t="n">
        <x:v>11418</x:v>
      </x:c>
      <x:c r="I284" t="str">
        <x:v>2026-03-30</x:v>
      </x:c>
      <x:c r="J284" t="str">
        <x:v>2026-03-30</x:v>
      </x:c>
      <x:c r="K284" t="n">
        <x:v>0</x:v>
      </x:c>
      <x:c r="L284" t="str">
        <x:v>Complete</x:v>
      </x:c>
      <x:c r="M284" t="str">
        <x:v>Matched</x:v>
      </x:c>
    </x:row>
    <x:row r="285">
      <x:c r="A285" t="str">
        <x:v>PO500283</x:v>
      </x:c>
      <x:c r="B285" t="str">
        <x:v>2026-03-03</x:v>
      </x:c>
      <x:c r="C285" t="str">
        <x:v>V1026</x:v>
      </x:c>
      <x:c r="D285" t="str">
        <x:v>MAT2010</x:v>
      </x:c>
      <x:c r="E285" t="n">
        <x:v>9</x:v>
      </x:c>
      <x:c r="F285" t="n">
        <x:v>9</x:v>
      </x:c>
      <x:c r="G285" s="8" t="n">
        <x:v>483.48</x:v>
      </x:c>
      <x:c r="H285" s="8" t="n">
        <x:v>4351.32</x:v>
      </x:c>
      <x:c r="I285" t="str">
        <x:v>2026-03-12</x:v>
      </x:c>
      <x:c r="J285" t="str">
        <x:v>2026-03-12</x:v>
      </x:c>
      <x:c r="K285" t="n">
        <x:v>0</x:v>
      </x:c>
      <x:c r="L285" t="str">
        <x:v>Complete</x:v>
      </x:c>
      <x:c r="M285" t="str">
        <x:v>Matched</x:v>
      </x:c>
    </x:row>
    <x:row r="286">
      <x:c r="A286" t="str">
        <x:v>PO500284</x:v>
      </x:c>
      <x:c r="B286" t="str">
        <x:v>2026-08-04</x:v>
      </x:c>
      <x:c r="C286" t="str">
        <x:v>V1000</x:v>
      </x:c>
      <x:c r="D286" t="str">
        <x:v>MAT2033</x:v>
      </x:c>
      <x:c r="E286" t="n">
        <x:v>158</x:v>
      </x:c>
      <x:c r="F286" t="n">
        <x:v>158</x:v>
      </x:c>
      <x:c r="G286" s="8" t="n">
        <x:v>2360.85</x:v>
      </x:c>
      <x:c r="H286" s="8" t="n">
        <x:v>373014.3</x:v>
      </x:c>
      <x:c r="I286" t="str">
        <x:v>2026-08-24</x:v>
      </x:c>
      <x:c r="J286" t="str">
        <x:v>2026-08-24</x:v>
      </x:c>
      <x:c r="K286" t="n">
        <x:v>0</x:v>
      </x:c>
      <x:c r="L286" t="str">
        <x:v>Complete</x:v>
      </x:c>
      <x:c r="M286" t="str">
        <x:v>Matched</x:v>
      </x:c>
    </x:row>
    <x:row r="287">
      <x:c r="A287" t="str">
        <x:v>PO500285</x:v>
      </x:c>
      <x:c r="B287" t="str">
        <x:v>2026-07-19</x:v>
      </x:c>
      <x:c r="C287" t="str">
        <x:v>V1003</x:v>
      </x:c>
      <x:c r="D287" t="str">
        <x:v>MAT2066</x:v>
      </x:c>
      <x:c r="E287" t="n">
        <x:v>279</x:v>
      </x:c>
      <x:c r="F287" t="n">
        <x:v>279</x:v>
      </x:c>
      <x:c r="G287" s="8" t="n">
        <x:v>1723.21</x:v>
      </x:c>
      <x:c r="H287" s="8" t="n">
        <x:v>480775.59</x:v>
      </x:c>
      <x:c r="I287" t="str">
        <x:v>2026-07-30</x:v>
      </x:c>
      <x:c r="J287" t="str">
        <x:v>2026-07-31</x:v>
      </x:c>
      <x:c r="K287" t="n">
        <x:v>1</x:v>
      </x:c>
      <x:c r="L287" t="str">
        <x:v>Complete</x:v>
      </x:c>
      <x:c r="M287" t="str">
        <x:v>Matched</x:v>
      </x:c>
    </x:row>
    <x:row r="288">
      <x:c r="A288" t="str">
        <x:v>PO500286</x:v>
      </x:c>
      <x:c r="B288" t="str">
        <x:v>2026-07-06</x:v>
      </x:c>
      <x:c r="C288" t="str">
        <x:v>V1005</x:v>
      </x:c>
      <x:c r="D288" t="str">
        <x:v>MAT2007</x:v>
      </x:c>
      <x:c r="E288" t="n">
        <x:v>132</x:v>
      </x:c>
      <x:c r="F288" t="n">
        <x:v>132</x:v>
      </x:c>
      <x:c r="G288" s="8" t="n">
        <x:v>96.9</x:v>
      </x:c>
      <x:c r="H288" s="8" t="n">
        <x:v>12790.8</x:v>
      </x:c>
      <x:c r="I288" t="str">
        <x:v>2026-07-18</x:v>
      </x:c>
      <x:c r="J288" t="str">
        <x:v>2026-07-18</x:v>
      </x:c>
      <x:c r="K288" t="n">
        <x:v>0</x:v>
      </x:c>
      <x:c r="L288" t="str">
        <x:v>Complete</x:v>
      </x:c>
      <x:c r="M288" t="str">
        <x:v>Matched</x:v>
      </x:c>
    </x:row>
    <x:row r="289">
      <x:c r="A289" t="str">
        <x:v>PO500287</x:v>
      </x:c>
      <x:c r="B289" t="str">
        <x:v>2026-07-29</x:v>
      </x:c>
      <x:c r="C289" t="str">
        <x:v>V1026</x:v>
      </x:c>
      <x:c r="D289" t="str">
        <x:v>MAT2055</x:v>
      </x:c>
      <x:c r="E289" t="n">
        <x:v>25</x:v>
      </x:c>
      <x:c r="F289" t="n">
        <x:v>25</x:v>
      </x:c>
      <x:c r="G289" s="8" t="n">
        <x:v>1298.07</x:v>
      </x:c>
      <x:c r="H289" s="8" t="n">
        <x:v>32451.75</x:v>
      </x:c>
      <x:c r="I289" t="str">
        <x:v>2026-08-02</x:v>
      </x:c>
      <x:c r="J289" t="str">
        <x:v>2026-08-02</x:v>
      </x:c>
      <x:c r="K289" t="n">
        <x:v>0</x:v>
      </x:c>
      <x:c r="L289" t="str">
        <x:v>Complete</x:v>
      </x:c>
      <x:c r="M289" t="str">
        <x:v>Matched</x:v>
      </x:c>
    </x:row>
    <x:row r="290">
      <x:c r="A290" t="str">
        <x:v>PO500288</x:v>
      </x:c>
      <x:c r="B290" t="str">
        <x:v>2026-01-30</x:v>
      </x:c>
      <x:c r="C290" t="str">
        <x:v>V1010</x:v>
      </x:c>
      <x:c r="D290" t="str">
        <x:v>MAT2026</x:v>
      </x:c>
      <x:c r="E290" t="n">
        <x:v>318</x:v>
      </x:c>
      <x:c r="F290" t="n">
        <x:v>318</x:v>
      </x:c>
      <x:c r="G290" s="8" t="n">
        <x:v>1593.36</x:v>
      </x:c>
      <x:c r="H290" s="8" t="n">
        <x:v>506688.48</x:v>
      </x:c>
      <x:c r="I290" t="str">
        <x:v>2026-02-18</x:v>
      </x:c>
      <x:c r="J290" t="str">
        <x:v>2026-02-18</x:v>
      </x:c>
      <x:c r="K290" t="n">
        <x:v>0</x:v>
      </x:c>
      <x:c r="L290" t="str">
        <x:v>Complete</x:v>
      </x:c>
      <x:c r="M290" t="str">
        <x:v>Mismatch</x:v>
      </x:c>
    </x:row>
    <x:row r="291">
      <x:c r="A291" t="str">
        <x:v>PO500289</x:v>
      </x:c>
      <x:c r="B291" t="str">
        <x:v>2026-03-22</x:v>
      </x:c>
      <x:c r="C291" t="str">
        <x:v>V1025</x:v>
      </x:c>
      <x:c r="D291" t="str">
        <x:v>MAT2015</x:v>
      </x:c>
      <x:c r="E291" t="n">
        <x:v>171</x:v>
      </x:c>
      <x:c r="F291" t="n">
        <x:v>171</x:v>
      </x:c>
      <x:c r="G291" s="8" t="n">
        <x:v>2404.43</x:v>
      </x:c>
      <x:c r="H291" s="8" t="n">
        <x:v>411157.53</x:v>
      </x:c>
      <x:c r="I291" t="str">
        <x:v>2026-03-28</x:v>
      </x:c>
      <x:c r="J291" t="str">
        <x:v>2026-03-28</x:v>
      </x:c>
      <x:c r="K291" t="n">
        <x:v>0</x:v>
      </x:c>
      <x:c r="L291" t="str">
        <x:v>Complete</x:v>
      </x:c>
      <x:c r="M291" t="str">
        <x:v>Matched</x:v>
      </x:c>
    </x:row>
    <x:row r="292">
      <x:c r="A292" t="str">
        <x:v>PO500290</x:v>
      </x:c>
      <x:c r="B292" t="str">
        <x:v>2026-05-22</x:v>
      </x:c>
      <x:c r="C292" t="str">
        <x:v>V1019</x:v>
      </x:c>
      <x:c r="D292" t="str">
        <x:v>MAT2027</x:v>
      </x:c>
      <x:c r="E292" t="n">
        <x:v>325</x:v>
      </x:c>
      <x:c r="F292" t="n">
        <x:v>325</x:v>
      </x:c>
      <x:c r="G292" s="8" t="n">
        <x:v>2067.45</x:v>
      </x:c>
      <x:c r="H292" s="8" t="n">
        <x:v>671921.25</x:v>
      </x:c>
      <x:c r="I292" t="str">
        <x:v>2026-05-29</x:v>
      </x:c>
      <x:c r="J292" t="str">
        <x:v>2026-05-30</x:v>
      </x:c>
      <x:c r="K292" t="n">
        <x:v>1</x:v>
      </x:c>
      <x:c r="L292" t="str">
        <x:v>Complete</x:v>
      </x:c>
      <x:c r="M292" t="str">
        <x:v>Pending</x:v>
      </x:c>
    </x:row>
    <x:row r="293">
      <x:c r="A293" t="str">
        <x:v>PO500291</x:v>
      </x:c>
      <x:c r="B293" t="str">
        <x:v>2026-02-20</x:v>
      </x:c>
      <x:c r="C293" t="str">
        <x:v>V1007</x:v>
      </x:c>
      <x:c r="D293" t="str">
        <x:v>MAT2037</x:v>
      </x:c>
      <x:c r="E293" t="n">
        <x:v>480</x:v>
      </x:c>
      <x:c r="F293" t="n">
        <x:v>480</x:v>
      </x:c>
      <x:c r="G293" s="8" t="n">
        <x:v>1445.54</x:v>
      </x:c>
      <x:c r="H293" s="8" t="n">
        <x:v>693859.2</x:v>
      </x:c>
      <x:c r="I293" t="str">
        <x:v>2026-03-05</x:v>
      </x:c>
      <x:c r="J293" t="str">
        <x:v>2026-03-06</x:v>
      </x:c>
      <x:c r="K293" t="n">
        <x:v>1</x:v>
      </x:c>
      <x:c r="L293" t="str">
        <x:v>Complete</x:v>
      </x:c>
      <x:c r="M293" t="str">
        <x:v>Pending</x:v>
      </x:c>
    </x:row>
    <x:row r="294">
      <x:c r="A294" t="str">
        <x:v>PO500292</x:v>
      </x:c>
      <x:c r="B294" t="str">
        <x:v>2026-05-13</x:v>
      </x:c>
      <x:c r="C294" t="str">
        <x:v>V1024</x:v>
      </x:c>
      <x:c r="D294" t="str">
        <x:v>MAT2060</x:v>
      </x:c>
      <x:c r="E294" t="n">
        <x:v>257</x:v>
      </x:c>
      <x:c r="F294" t="n">
        <x:v>257</x:v>
      </x:c>
      <x:c r="G294" s="8" t="n">
        <x:v>755.01</x:v>
      </x:c>
      <x:c r="H294" s="8" t="n">
        <x:v>194037.57</x:v>
      </x:c>
      <x:c r="I294" t="str">
        <x:v>2026-05-28</x:v>
      </x:c>
      <x:c r="J294" t="str">
        <x:v>2026-05-28</x:v>
      </x:c>
      <x:c r="K294" t="n">
        <x:v>0</x:v>
      </x:c>
      <x:c r="L294" t="str">
        <x:v>Complete</x:v>
      </x:c>
      <x:c r="M294" t="str">
        <x:v>Mismatch</x:v>
      </x:c>
    </x:row>
    <x:row r="295">
      <x:c r="A295" t="str">
        <x:v>PO500293</x:v>
      </x:c>
      <x:c r="B295" t="str">
        <x:v>2026-04-06</x:v>
      </x:c>
      <x:c r="C295" t="str">
        <x:v>V1008</x:v>
      </x:c>
      <x:c r="D295" t="str">
        <x:v>MAT2068</x:v>
      </x:c>
      <x:c r="E295" t="n">
        <x:v>482</x:v>
      </x:c>
      <x:c r="F295" t="n">
        <x:v>482</x:v>
      </x:c>
      <x:c r="G295" s="8" t="n">
        <x:v>1713.4</x:v>
      </x:c>
      <x:c r="H295" s="8" t="n">
        <x:v>825858.8</x:v>
      </x:c>
      <x:c r="I295" t="str">
        <x:v>2026-04-21</x:v>
      </x:c>
      <x:c r="J295" t="str">
        <x:v>2026-05-03</x:v>
      </x:c>
      <x:c r="K295" t="n">
        <x:v>12</x:v>
      </x:c>
      <x:c r="L295" t="str">
        <x:v>Complete</x:v>
      </x:c>
      <x:c r="M295" t="str">
        <x:v>Matched</x:v>
      </x:c>
    </x:row>
    <x:row r="296">
      <x:c r="A296" t="str">
        <x:v>PO500294</x:v>
      </x:c>
      <x:c r="B296" t="str">
        <x:v>2026-08-17</x:v>
      </x:c>
      <x:c r="C296" t="str">
        <x:v>V1014</x:v>
      </x:c>
      <x:c r="D296" t="str">
        <x:v>MAT2052</x:v>
      </x:c>
      <x:c r="E296" t="n">
        <x:v>389</x:v>
      </x:c>
      <x:c r="F296" t="n">
        <x:v>389</x:v>
      </x:c>
      <x:c r="G296" s="8" t="n">
        <x:v>1398.43</x:v>
      </x:c>
      <x:c r="H296" s="8" t="n">
        <x:v>543989.27</x:v>
      </x:c>
      <x:c r="I296" t="str">
        <x:v>2026-08-21</x:v>
      </x:c>
      <x:c r="J296" t="str">
        <x:v>2026-08-21</x:v>
      </x:c>
      <x:c r="K296" t="n">
        <x:v>0</x:v>
      </x:c>
      <x:c r="L296" t="str">
        <x:v>Complete</x:v>
      </x:c>
      <x:c r="M296" t="str">
        <x:v>Mismatch</x:v>
      </x:c>
    </x:row>
    <x:row r="297">
      <x:c r="A297" t="str">
        <x:v>PO500295</x:v>
      </x:c>
      <x:c r="B297" t="str">
        <x:v>2026-06-08</x:v>
      </x:c>
      <x:c r="C297" t="str">
        <x:v>V1010</x:v>
      </x:c>
      <x:c r="D297" t="str">
        <x:v>MAT2039</x:v>
      </x:c>
      <x:c r="E297" t="n">
        <x:v>365</x:v>
      </x:c>
      <x:c r="F297" t="n">
        <x:v>365</x:v>
      </x:c>
      <x:c r="G297" s="8" t="n">
        <x:v>261.14</x:v>
      </x:c>
      <x:c r="H297" s="8" t="n">
        <x:v>95316.1</x:v>
      </x:c>
      <x:c r="I297" t="str">
        <x:v>2026-06-14</x:v>
      </x:c>
      <x:c r="J297" t="str">
        <x:v>2026-06-14</x:v>
      </x:c>
      <x:c r="K297" t="n">
        <x:v>0</x:v>
      </x:c>
      <x:c r="L297" t="str">
        <x:v>Complete</x:v>
      </x:c>
      <x:c r="M297" t="str">
        <x:v>Matched</x:v>
      </x:c>
    </x:row>
    <x:row r="298">
      <x:c r="A298" t="str">
        <x:v>PO500296</x:v>
      </x:c>
      <x:c r="B298" t="str">
        <x:v>2026-03-29</x:v>
      </x:c>
      <x:c r="C298" t="str">
        <x:v>V1006</x:v>
      </x:c>
      <x:c r="D298" t="str">
        <x:v>MAT2043</x:v>
      </x:c>
      <x:c r="E298" t="n">
        <x:v>46</x:v>
      </x:c>
      <x:c r="F298" t="n">
        <x:v>46</x:v>
      </x:c>
      <x:c r="G298" s="8" t="n">
        <x:v>2441.58</x:v>
      </x:c>
      <x:c r="H298" s="8" t="n">
        <x:v>112312.68</x:v>
      </x:c>
      <x:c r="I298" t="str">
        <x:v>2026-04-17</x:v>
      </x:c>
      <x:c r="J298" t="str">
        <x:v>2026-04-17</x:v>
      </x:c>
      <x:c r="K298" t="n">
        <x:v>0</x:v>
      </x:c>
      <x:c r="L298" t="str">
        <x:v>Complete</x:v>
      </x:c>
      <x:c r="M298" t="str">
        <x:v>Matched</x:v>
      </x:c>
    </x:row>
    <x:row r="299">
      <x:c r="A299" t="str">
        <x:v>PO500297</x:v>
      </x:c>
      <x:c r="B299" t="str">
        <x:v>2026-02-25</x:v>
      </x:c>
      <x:c r="C299" t="str">
        <x:v>V1013</x:v>
      </x:c>
      <x:c r="D299" t="str">
        <x:v>MAT2007</x:v>
      </x:c>
      <x:c r="E299" t="n">
        <x:v>448</x:v>
      </x:c>
      <x:c r="F299" t="n">
        <x:v>448</x:v>
      </x:c>
      <x:c r="G299" s="8" t="n">
        <x:v>480.56</x:v>
      </x:c>
      <x:c r="H299" s="8" t="n">
        <x:v>215290.88</x:v>
      </x:c>
      <x:c r="I299" t="str">
        <x:v>2026-03-02</x:v>
      </x:c>
      <x:c r="J299" t="str">
        <x:v>2026-03-07</x:v>
      </x:c>
      <x:c r="K299" t="n">
        <x:v>5</x:v>
      </x:c>
      <x:c r="L299" t="str">
        <x:v>Complete</x:v>
      </x:c>
      <x:c r="M299" t="str">
        <x:v>Pending</x:v>
      </x:c>
    </x:row>
    <x:row r="300">
      <x:c r="A300" t="str">
        <x:v>PO500298</x:v>
      </x:c>
      <x:c r="B300" t="str">
        <x:v>2026-02-07</x:v>
      </x:c>
      <x:c r="C300" t="str">
        <x:v>V1014</x:v>
      </x:c>
      <x:c r="D300" t="str">
        <x:v>MAT2013</x:v>
      </x:c>
      <x:c r="E300" t="n">
        <x:v>15</x:v>
      </x:c>
      <x:c r="F300" t="n">
        <x:v>15</x:v>
      </x:c>
      <x:c r="G300" s="8" t="n">
        <x:v>2094.96</x:v>
      </x:c>
      <x:c r="H300" s="8" t="n">
        <x:v>31424.4</x:v>
      </x:c>
      <x:c r="I300" t="str">
        <x:v>2026-02-20</x:v>
      </x:c>
      <x:c r="J300" t="str">
        <x:v>2026-02-23</x:v>
      </x:c>
      <x:c r="K300" t="n">
        <x:v>3</x:v>
      </x:c>
      <x:c r="L300" t="str">
        <x:v>Complete</x:v>
      </x:c>
      <x:c r="M300" t="str">
        <x:v>Matched</x:v>
      </x:c>
    </x:row>
    <x:row r="301">
      <x:c r="A301" t="str">
        <x:v>PO500299</x:v>
      </x:c>
      <x:c r="B301" t="str">
        <x:v>2026-04-14</x:v>
      </x:c>
      <x:c r="C301" t="str">
        <x:v>V1026</x:v>
      </x:c>
      <x:c r="D301" t="str">
        <x:v>MAT2007</x:v>
      </x:c>
      <x:c r="E301" t="n">
        <x:v>353</x:v>
      </x:c>
      <x:c r="F301" t="n">
        <x:v>353</x:v>
      </x:c>
      <x:c r="G301" s="8" t="n">
        <x:v>2281.03</x:v>
      </x:c>
      <x:c r="H301" s="8" t="n">
        <x:v>805203.59</x:v>
      </x:c>
      <x:c r="I301" t="str">
        <x:v>2026-05-03</x:v>
      </x:c>
      <x:c r="J301" t="str">
        <x:v>2026-05-04</x:v>
      </x:c>
      <x:c r="K301" t="n">
        <x:v>1</x:v>
      </x:c>
      <x:c r="L301" t="str">
        <x:v>Complete</x:v>
      </x:c>
      <x:c r="M301" t="str">
        <x:v>Mismatch</x:v>
      </x:c>
    </x:row>
    <x:row r="302">
      <x:c r="A302" t="str">
        <x:v>PO500300</x:v>
      </x:c>
      <x:c r="B302" t="str">
        <x:v>2026-01-02</x:v>
      </x:c>
      <x:c r="C302" t="str">
        <x:v>V1029</x:v>
      </x:c>
      <x:c r="D302" t="str">
        <x:v>MAT2038</x:v>
      </x:c>
      <x:c r="E302" t="n">
        <x:v>366</x:v>
      </x:c>
      <x:c r="F302" t="n">
        <x:v>347</x:v>
      </x:c>
      <x:c r="G302" s="8" t="n">
        <x:v>408.27</x:v>
      </x:c>
      <x:c r="H302" s="8" t="n">
        <x:v>149426.82</x:v>
      </x:c>
      <x:c r="I302" t="str">
        <x:v>2026-01-10</x:v>
      </x:c>
      <x:c r="J302" t="str">
        <x:v>2026-01-10</x:v>
      </x:c>
      <x:c r="K302" t="n">
        <x:v>0</x:v>
      </x:c>
      <x:c r="L302" t="str">
        <x:v>Partial</x:v>
      </x:c>
      <x:c r="M302" t="str">
        <x:v>Matched</x:v>
      </x:c>
    </x:row>
    <x:row r="303">
      <x:c r="A303" t="str">
        <x:v>PO500301</x:v>
      </x:c>
      <x:c r="B303" t="str">
        <x:v>2026-07-05</x:v>
      </x:c>
      <x:c r="C303" t="str">
        <x:v>V1021</x:v>
      </x:c>
      <x:c r="D303" t="str">
        <x:v>MAT2063</x:v>
      </x:c>
      <x:c r="E303" t="n">
        <x:v>491</x:v>
      </x:c>
      <x:c r="F303" t="n">
        <x:v>491</x:v>
      </x:c>
      <x:c r="G303" s="8" t="n">
        <x:v>2275.03</x:v>
      </x:c>
      <x:c r="H303" s="8" t="n">
        <x:v>1117039.73</x:v>
      </x:c>
      <x:c r="I303" t="str">
        <x:v>2026-07-23</x:v>
      </x:c>
      <x:c r="J303" t="str">
        <x:v>2026-07-24</x:v>
      </x:c>
      <x:c r="K303" t="n">
        <x:v>1</x:v>
      </x:c>
      <x:c r="L303" t="str">
        <x:v>Complete</x:v>
      </x:c>
      <x:c r="M303" t="str">
        <x:v>Matched</x:v>
      </x:c>
    </x:row>
    <x:row r="304">
      <x:c r="A304" t="str">
        <x:v>PO500302</x:v>
      </x:c>
      <x:c r="B304" t="str">
        <x:v>2026-04-02</x:v>
      </x:c>
      <x:c r="C304" t="str">
        <x:v>V1022</x:v>
      </x:c>
      <x:c r="D304" t="str">
        <x:v>MAT2077</x:v>
      </x:c>
      <x:c r="E304" t="n">
        <x:v>118</x:v>
      </x:c>
      <x:c r="F304" t="n">
        <x:v>109</x:v>
      </x:c>
      <x:c r="G304" s="8" t="n">
        <x:v>190.35</x:v>
      </x:c>
      <x:c r="H304" s="8" t="n">
        <x:v>22461.3</x:v>
      </x:c>
      <x:c r="I304" t="str">
        <x:v>2026-04-05</x:v>
      </x:c>
      <x:c r="J304" t="str">
        <x:v>2026-04-05</x:v>
      </x:c>
      <x:c r="K304" t="n">
        <x:v>0</x:v>
      </x:c>
      <x:c r="L304" t="str">
        <x:v>Partial</x:v>
      </x:c>
      <x:c r="M304" t="str">
        <x:v>Matched</x:v>
      </x:c>
    </x:row>
    <x:row r="305">
      <x:c r="A305" t="str">
        <x:v>PO500303</x:v>
      </x:c>
      <x:c r="B305" t="str">
        <x:v>2026-04-10</x:v>
      </x:c>
      <x:c r="C305" t="str">
        <x:v>V1022</x:v>
      </x:c>
      <x:c r="D305" t="str">
        <x:v>MAT2059</x:v>
      </x:c>
      <x:c r="E305" t="n">
        <x:v>306</x:v>
      </x:c>
      <x:c r="F305" t="n">
        <x:v>306</x:v>
      </x:c>
      <x:c r="G305" s="8" t="n">
        <x:v>2371.36</x:v>
      </x:c>
      <x:c r="H305" s="8" t="n">
        <x:v>725636.16</x:v>
      </x:c>
      <x:c r="I305" t="str">
        <x:v>2026-04-19</x:v>
      </x:c>
      <x:c r="J305" t="str">
        <x:v>2026-04-19</x:v>
      </x:c>
      <x:c r="K305" t="n">
        <x:v>0</x:v>
      </x:c>
      <x:c r="L305" t="str">
        <x:v>Complete</x:v>
      </x:c>
      <x:c r="M305" t="str">
        <x:v>Matched</x:v>
      </x:c>
    </x:row>
    <x:row r="306">
      <x:c r="A306" t="str">
        <x:v>PO500304</x:v>
      </x:c>
      <x:c r="B306" t="str">
        <x:v>2026-08-28</x:v>
      </x:c>
      <x:c r="C306" t="str">
        <x:v>V1003</x:v>
      </x:c>
      <x:c r="D306" t="str">
        <x:v>MAT2031</x:v>
      </x:c>
      <x:c r="E306" t="n">
        <x:v>6</x:v>
      </x:c>
      <x:c r="F306" t="n">
        <x:v>6</x:v>
      </x:c>
      <x:c r="G306" s="8" t="n">
        <x:v>508.43</x:v>
      </x:c>
      <x:c r="H306" s="8" t="n">
        <x:v>3050.58</x:v>
      </x:c>
      <x:c r="I306" t="str">
        <x:v>2026-09-12</x:v>
      </x:c>
      <x:c r="J306" t="str">
        <x:v>2026-09-15</x:v>
      </x:c>
      <x:c r="K306" t="n">
        <x:v>3</x:v>
      </x:c>
      <x:c r="L306" t="str">
        <x:v>Complete</x:v>
      </x:c>
      <x:c r="M306" t="str">
        <x:v>Mismatch</x:v>
      </x:c>
    </x:row>
    <x:row r="307">
      <x:c r="A307" t="str">
        <x:v>PO500305</x:v>
      </x:c>
      <x:c r="B307" t="str">
        <x:v>2026-05-05</x:v>
      </x:c>
      <x:c r="C307" t="str">
        <x:v>V1024</x:v>
      </x:c>
      <x:c r="D307" t="str">
        <x:v>MAT2005</x:v>
      </x:c>
      <x:c r="E307" t="n">
        <x:v>397</x:v>
      </x:c>
      <x:c r="F307" t="n">
        <x:v>397</x:v>
      </x:c>
      <x:c r="G307" s="8" t="n">
        <x:v>2323.36</x:v>
      </x:c>
      <x:c r="H307" s="8" t="n">
        <x:v>922373.92</x:v>
      </x:c>
      <x:c r="I307" t="str">
        <x:v>2026-05-13</x:v>
      </x:c>
      <x:c r="J307" t="str">
        <x:v>2026-05-18</x:v>
      </x:c>
      <x:c r="K307" t="n">
        <x:v>5</x:v>
      </x:c>
      <x:c r="L307" t="str">
        <x:v>Complete</x:v>
      </x:c>
      <x:c r="M307" t="str">
        <x:v>Matched</x:v>
      </x:c>
    </x:row>
    <x:row r="308">
      <x:c r="A308" t="str">
        <x:v>PO500306</x:v>
      </x:c>
      <x:c r="B308" t="str">
        <x:v>2026-06-14</x:v>
      </x:c>
      <x:c r="C308" t="str">
        <x:v>V1022</x:v>
      </x:c>
      <x:c r="D308" t="str">
        <x:v>MAT2001</x:v>
      </x:c>
      <x:c r="E308" t="n">
        <x:v>448</x:v>
      </x:c>
      <x:c r="F308" t="n">
        <x:v>448</x:v>
      </x:c>
      <x:c r="G308" s="8" t="n">
        <x:v>373.71</x:v>
      </x:c>
      <x:c r="H308" s="8" t="n">
        <x:v>167422.08</x:v>
      </x:c>
      <x:c r="I308" t="str">
        <x:v>2026-06-17</x:v>
      </x:c>
      <x:c r="J308" t="str">
        <x:v>2026-06-18</x:v>
      </x:c>
      <x:c r="K308" t="n">
        <x:v>1</x:v>
      </x:c>
      <x:c r="L308" t="str">
        <x:v>Complete</x:v>
      </x:c>
      <x:c r="M308" t="str">
        <x:v>Matched</x:v>
      </x:c>
    </x:row>
    <x:row r="309">
      <x:c r="A309" t="str">
        <x:v>PO500307</x:v>
      </x:c>
      <x:c r="B309" t="str">
        <x:v>2026-08-21</x:v>
      </x:c>
      <x:c r="C309" t="str">
        <x:v>V1002</x:v>
      </x:c>
      <x:c r="D309" t="str">
        <x:v>MAT2014</x:v>
      </x:c>
      <x:c r="E309" t="n">
        <x:v>277</x:v>
      </x:c>
      <x:c r="F309" t="n">
        <x:v>277</x:v>
      </x:c>
      <x:c r="G309" s="8" t="n">
        <x:v>524.09</x:v>
      </x:c>
      <x:c r="H309" s="8" t="n">
        <x:v>145172.93</x:v>
      </x:c>
      <x:c r="I309" t="str">
        <x:v>2026-09-01</x:v>
      </x:c>
      <x:c r="J309" t="str">
        <x:v>2026-09-01</x:v>
      </x:c>
      <x:c r="K309" t="n">
        <x:v>0</x:v>
      </x:c>
      <x:c r="L309" t="str">
        <x:v>Complete</x:v>
      </x:c>
      <x:c r="M309" t="str">
        <x:v>Matched</x:v>
      </x:c>
    </x:row>
    <x:row r="310">
      <x:c r="A310" t="str">
        <x:v>PO500308</x:v>
      </x:c>
      <x:c r="B310" t="str">
        <x:v>2026-06-17</x:v>
      </x:c>
      <x:c r="C310" t="str">
        <x:v>V1027</x:v>
      </x:c>
      <x:c r="D310" t="str">
        <x:v>MAT2046</x:v>
      </x:c>
      <x:c r="E310" t="n">
        <x:v>324</x:v>
      </x:c>
      <x:c r="F310" t="n">
        <x:v>306</x:v>
      </x:c>
      <x:c r="G310" s="8" t="n">
        <x:v>2380.63</x:v>
      </x:c>
      <x:c r="H310" s="8" t="n">
        <x:v>771324.12</x:v>
      </x:c>
      <x:c r="I310" t="str">
        <x:v>2026-06-23</x:v>
      </x:c>
      <x:c r="J310" t="str">
        <x:v>2026-06-23</x:v>
      </x:c>
      <x:c r="K310" t="n">
        <x:v>0</x:v>
      </x:c>
      <x:c r="L310" t="str">
        <x:v>Partial</x:v>
      </x:c>
      <x:c r="M310" t="str">
        <x:v>Matched</x:v>
      </x:c>
    </x:row>
    <x:row r="311">
      <x:c r="A311" t="str">
        <x:v>PO500309</x:v>
      </x:c>
      <x:c r="B311" t="str">
        <x:v>2026-05-26</x:v>
      </x:c>
      <x:c r="C311" t="str">
        <x:v>V1034</x:v>
      </x:c>
      <x:c r="D311" t="str">
        <x:v>MAT2057</x:v>
      </x:c>
      <x:c r="E311" t="n">
        <x:v>223</x:v>
      </x:c>
      <x:c r="F311" t="n">
        <x:v>223</x:v>
      </x:c>
      <x:c r="G311" s="8" t="n">
        <x:v>2481.07</x:v>
      </x:c>
      <x:c r="H311" s="8" t="n">
        <x:v>553278.61</x:v>
      </x:c>
      <x:c r="I311" t="str">
        <x:v>2026-06-14</x:v>
      </x:c>
      <x:c r="J311" t="str">
        <x:v>2026-06-14</x:v>
      </x:c>
      <x:c r="K311" t="n">
        <x:v>0</x:v>
      </x:c>
      <x:c r="L311" t="str">
        <x:v>Complete</x:v>
      </x:c>
      <x:c r="M311" t="str">
        <x:v>Matched</x:v>
      </x:c>
    </x:row>
    <x:row r="312">
      <x:c r="A312" t="str">
        <x:v>PO500310</x:v>
      </x:c>
      <x:c r="B312" t="str">
        <x:v>2026-07-09</x:v>
      </x:c>
      <x:c r="C312" t="str">
        <x:v>V1017</x:v>
      </x:c>
      <x:c r="D312" t="str">
        <x:v>MAT2073</x:v>
      </x:c>
      <x:c r="E312" t="n">
        <x:v>475</x:v>
      </x:c>
      <x:c r="F312" t="n">
        <x:v>475</x:v>
      </x:c>
      <x:c r="G312" s="8" t="n">
        <x:v>276.38</x:v>
      </x:c>
      <x:c r="H312" s="8" t="n">
        <x:v>131280.5</x:v>
      </x:c>
      <x:c r="I312" t="str">
        <x:v>2026-07-18</x:v>
      </x:c>
      <x:c r="J312" t="str">
        <x:v>2026-07-18</x:v>
      </x:c>
      <x:c r="K312" t="n">
        <x:v>0</x:v>
      </x:c>
      <x:c r="L312" t="str">
        <x:v>Complete</x:v>
      </x:c>
      <x:c r="M312" t="str">
        <x:v>Matched</x:v>
      </x:c>
    </x:row>
    <x:row r="313">
      <x:c r="A313" t="str">
        <x:v>PO500311</x:v>
      </x:c>
      <x:c r="B313" t="str">
        <x:v>2026-04-28</x:v>
      </x:c>
      <x:c r="C313" t="str">
        <x:v>V1017</x:v>
      </x:c>
      <x:c r="D313" t="str">
        <x:v>MAT2049</x:v>
      </x:c>
      <x:c r="E313" t="n">
        <x:v>312</x:v>
      </x:c>
      <x:c r="F313" t="n">
        <x:v>312</x:v>
      </x:c>
      <x:c r="G313" s="8" t="n">
        <x:v>1333.71</x:v>
      </x:c>
      <x:c r="H313" s="8" t="n">
        <x:v>416117.52</x:v>
      </x:c>
      <x:c r="I313" t="str">
        <x:v>2026-05-01</x:v>
      </x:c>
      <x:c r="J313" t="str">
        <x:v>2026-05-13</x:v>
      </x:c>
      <x:c r="K313" t="n">
        <x:v>12</x:v>
      </x:c>
      <x:c r="L313" t="str">
        <x:v>Complete</x:v>
      </x:c>
      <x:c r="M313" t="str">
        <x:v>Mismatch</x:v>
      </x:c>
    </x:row>
    <x:row r="314">
      <x:c r="A314" t="str">
        <x:v>PO500312</x:v>
      </x:c>
      <x:c r="B314" t="str">
        <x:v>2026-05-05</x:v>
      </x:c>
      <x:c r="C314" t="str">
        <x:v>V1017</x:v>
      </x:c>
      <x:c r="D314" t="str">
        <x:v>MAT2052</x:v>
      </x:c>
      <x:c r="E314" t="n">
        <x:v>308</x:v>
      </x:c>
      <x:c r="F314" t="n">
        <x:v>308</x:v>
      </x:c>
      <x:c r="G314" s="8" t="n">
        <x:v>1057.07</x:v>
      </x:c>
      <x:c r="H314" s="8" t="n">
        <x:v>325577.56</x:v>
      </x:c>
      <x:c r="I314" t="str">
        <x:v>2026-05-13</x:v>
      </x:c>
      <x:c r="J314" t="str">
        <x:v>2026-05-13</x:v>
      </x:c>
      <x:c r="K314" t="n">
        <x:v>0</x:v>
      </x:c>
      <x:c r="L314" t="str">
        <x:v>Complete</x:v>
      </x:c>
      <x:c r="M314" t="str">
        <x:v>Mismatch</x:v>
      </x:c>
    </x:row>
    <x:row r="315">
      <x:c r="A315" t="str">
        <x:v>PO500313</x:v>
      </x:c>
      <x:c r="B315" t="str">
        <x:v>2026-04-02</x:v>
      </x:c>
      <x:c r="C315" t="str">
        <x:v>V1019</x:v>
      </x:c>
      <x:c r="D315" t="str">
        <x:v>MAT2036</x:v>
      </x:c>
      <x:c r="E315" t="n">
        <x:v>69</x:v>
      </x:c>
      <x:c r="F315" t="n">
        <x:v>69</x:v>
      </x:c>
      <x:c r="G315" s="8" t="n">
        <x:v>478.86</x:v>
      </x:c>
      <x:c r="H315" s="8" t="n">
        <x:v>33041.34</x:v>
      </x:c>
      <x:c r="I315" t="str">
        <x:v>2026-04-13</x:v>
      </x:c>
      <x:c r="J315" t="str">
        <x:v>2026-04-25</x:v>
      </x:c>
      <x:c r="K315" t="n">
        <x:v>12</x:v>
      </x:c>
      <x:c r="L315" t="str">
        <x:v>Complete</x:v>
      </x:c>
      <x:c r="M315" t="str">
        <x:v>Matched</x:v>
      </x:c>
    </x:row>
    <x:row r="316">
      <x:c r="A316" t="str">
        <x:v>PO500314</x:v>
      </x:c>
      <x:c r="B316" t="str">
        <x:v>2026-05-07</x:v>
      </x:c>
      <x:c r="C316" t="str">
        <x:v>V1021</x:v>
      </x:c>
      <x:c r="D316" t="str">
        <x:v>MAT2068</x:v>
      </x:c>
      <x:c r="E316" t="n">
        <x:v>293</x:v>
      </x:c>
      <x:c r="F316" t="n">
        <x:v>293</x:v>
      </x:c>
      <x:c r="G316" s="8" t="n">
        <x:v>367.17</x:v>
      </x:c>
      <x:c r="H316" s="8" t="n">
        <x:v>107580.81</x:v>
      </x:c>
      <x:c r="I316" t="str">
        <x:v>2026-05-27</x:v>
      </x:c>
      <x:c r="J316" t="str">
        <x:v>2026-06-01</x:v>
      </x:c>
      <x:c r="K316" t="n">
        <x:v>5</x:v>
      </x:c>
      <x:c r="L316" t="str">
        <x:v>Complete</x:v>
      </x:c>
      <x:c r="M316" t="str">
        <x:v>Mismatch</x:v>
      </x:c>
    </x:row>
    <x:row r="317">
      <x:c r="A317" t="str">
        <x:v>PO500315</x:v>
      </x:c>
      <x:c r="B317" t="str">
        <x:v>2026-01-19</x:v>
      </x:c>
      <x:c r="C317" t="str">
        <x:v>V1014</x:v>
      </x:c>
      <x:c r="D317" t="str">
        <x:v>MAT2029</x:v>
      </x:c>
      <x:c r="E317" t="n">
        <x:v>92</x:v>
      </x:c>
      <x:c r="F317" t="n">
        <x:v>92</x:v>
      </x:c>
      <x:c r="G317" s="8" t="n">
        <x:v>725.85</x:v>
      </x:c>
      <x:c r="H317" s="8" t="n">
        <x:v>66778.2</x:v>
      </x:c>
      <x:c r="I317" t="str">
        <x:v>2026-01-28</x:v>
      </x:c>
      <x:c r="J317" t="str">
        <x:v>2026-01-28</x:v>
      </x:c>
      <x:c r="K317" t="n">
        <x:v>0</x:v>
      </x:c>
      <x:c r="L317" t="str">
        <x:v>Complete</x:v>
      </x:c>
      <x:c r="M317" t="str">
        <x:v>Matched</x:v>
      </x:c>
    </x:row>
    <x:row r="318">
      <x:c r="A318" t="str">
        <x:v>PO500316</x:v>
      </x:c>
      <x:c r="B318" t="str">
        <x:v>2026-03-21</x:v>
      </x:c>
      <x:c r="C318" t="str">
        <x:v>V1002</x:v>
      </x:c>
      <x:c r="D318" t="str">
        <x:v>MAT2050</x:v>
      </x:c>
      <x:c r="E318" t="n">
        <x:v>187</x:v>
      </x:c>
      <x:c r="F318" t="n">
        <x:v>187</x:v>
      </x:c>
      <x:c r="G318" s="8" t="n">
        <x:v>1262.4</x:v>
      </x:c>
      <x:c r="H318" s="8" t="n">
        <x:v>236068.8</x:v>
      </x:c>
      <x:c r="I318" t="str">
        <x:v>2026-04-09</x:v>
      </x:c>
      <x:c r="J318" t="str">
        <x:v>2026-04-14</x:v>
      </x:c>
      <x:c r="K318" t="n">
        <x:v>5</x:v>
      </x:c>
      <x:c r="L318" t="str">
        <x:v>Complete</x:v>
      </x:c>
      <x:c r="M318" t="str">
        <x:v>Matched</x:v>
      </x:c>
    </x:row>
    <x:row r="319">
      <x:c r="A319" t="str">
        <x:v>PO500317</x:v>
      </x:c>
      <x:c r="B319" t="str">
        <x:v>2026-05-03</x:v>
      </x:c>
      <x:c r="C319" t="str">
        <x:v>V1010</x:v>
      </x:c>
      <x:c r="D319" t="str">
        <x:v>MAT2078</x:v>
      </x:c>
      <x:c r="E319" t="n">
        <x:v>112</x:v>
      </x:c>
      <x:c r="F319" t="n">
        <x:v>112</x:v>
      </x:c>
      <x:c r="G319" s="8" t="n">
        <x:v>1362.7</x:v>
      </x:c>
      <x:c r="H319" s="8" t="n">
        <x:v>152622.4</x:v>
      </x:c>
      <x:c r="I319" t="str">
        <x:v>2026-05-19</x:v>
      </x:c>
      <x:c r="J319" t="str">
        <x:v>2026-05-19</x:v>
      </x:c>
      <x:c r="K319" t="n">
        <x:v>0</x:v>
      </x:c>
      <x:c r="L319" t="str">
        <x:v>Complete</x:v>
      </x:c>
      <x:c r="M319" t="str">
        <x:v>Matched</x:v>
      </x:c>
    </x:row>
    <x:row r="320">
      <x:c r="A320" t="str">
        <x:v>PO500318</x:v>
      </x:c>
      <x:c r="B320" t="str">
        <x:v>2026-08-03</x:v>
      </x:c>
      <x:c r="C320" t="str">
        <x:v>V1030</x:v>
      </x:c>
      <x:c r="D320" t="str">
        <x:v>MAT2078</x:v>
      </x:c>
      <x:c r="E320" t="n">
        <x:v>270</x:v>
      </x:c>
      <x:c r="F320" t="n">
        <x:v>270</x:v>
      </x:c>
      <x:c r="G320" s="8" t="n">
        <x:v>1071.62</x:v>
      </x:c>
      <x:c r="H320" s="8" t="n">
        <x:v>289337.4</x:v>
      </x:c>
      <x:c r="I320" t="str">
        <x:v>2026-08-12</x:v>
      </x:c>
      <x:c r="J320" t="str">
        <x:v>2026-08-15</x:v>
      </x:c>
      <x:c r="K320" t="n">
        <x:v>3</x:v>
      </x:c>
      <x:c r="L320" t="str">
        <x:v>Complete</x:v>
      </x:c>
      <x:c r="M320" t="str">
        <x:v>Pending</x:v>
      </x:c>
    </x:row>
    <x:row r="321">
      <x:c r="A321" t="str">
        <x:v>PO500319</x:v>
      </x:c>
      <x:c r="B321" t="str">
        <x:v>2026-04-30</x:v>
      </x:c>
      <x:c r="C321" t="str">
        <x:v>V1004</x:v>
      </x:c>
      <x:c r="D321" t="str">
        <x:v>MAT2011</x:v>
      </x:c>
      <x:c r="E321" t="n">
        <x:v>365</x:v>
      </x:c>
      <x:c r="F321" t="n">
        <x:v>365</x:v>
      </x:c>
      <x:c r="G321" s="8" t="n">
        <x:v>796.52</x:v>
      </x:c>
      <x:c r="H321" s="8" t="n">
        <x:v>290729.8</x:v>
      </x:c>
      <x:c r="I321" t="str">
        <x:v>2026-05-11</x:v>
      </x:c>
      <x:c r="J321" t="str">
        <x:v>2026-05-11</x:v>
      </x:c>
      <x:c r="K321" t="n">
        <x:v>0</x:v>
      </x:c>
      <x:c r="L321" t="str">
        <x:v>Complete</x:v>
      </x:c>
      <x:c r="M321" t="str">
        <x:v>Matched</x:v>
      </x:c>
    </x:row>
    <x:row r="322">
      <x:c r="A322" t="str">
        <x:v>PO500320</x:v>
      </x:c>
      <x:c r="B322" t="str">
        <x:v>2026-08-13</x:v>
      </x:c>
      <x:c r="C322" t="str">
        <x:v>V1001</x:v>
      </x:c>
      <x:c r="D322" t="str">
        <x:v>MAT2079</x:v>
      </x:c>
      <x:c r="E322" t="n">
        <x:v>338</x:v>
      </x:c>
      <x:c r="F322" t="n">
        <x:v>338</x:v>
      </x:c>
      <x:c r="G322" s="8" t="n">
        <x:v>412</x:v>
      </x:c>
      <x:c r="H322" s="8" t="n">
        <x:v>139256</x:v>
      </x:c>
      <x:c r="I322" t="str">
        <x:v>2026-08-16</x:v>
      </x:c>
      <x:c r="J322" t="str">
        <x:v>2026-08-21</x:v>
      </x:c>
      <x:c r="K322" t="n">
        <x:v>5</x:v>
      </x:c>
      <x:c r="L322" t="str">
        <x:v>Complete</x:v>
      </x:c>
      <x:c r="M322" t="str">
        <x:v>Mismatch</x:v>
      </x:c>
    </x:row>
    <x:row r="323">
      <x:c r="A323" t="str">
        <x:v>PO500321</x:v>
      </x:c>
      <x:c r="B323" t="str">
        <x:v>2026-04-12</x:v>
      </x:c>
      <x:c r="C323" t="str">
        <x:v>V1022</x:v>
      </x:c>
      <x:c r="D323" t="str">
        <x:v>MAT2008</x:v>
      </x:c>
      <x:c r="E323" t="n">
        <x:v>388</x:v>
      </x:c>
      <x:c r="F323" t="n">
        <x:v>377</x:v>
      </x:c>
      <x:c r="G323" s="8" t="n">
        <x:v>2029.45</x:v>
      </x:c>
      <x:c r="H323" s="8" t="n">
        <x:v>787426.6</x:v>
      </x:c>
      <x:c r="I323" t="str">
        <x:v>2026-04-30</x:v>
      </x:c>
      <x:c r="J323" t="str">
        <x:v>2026-04-30</x:v>
      </x:c>
      <x:c r="K323" t="n">
        <x:v>0</x:v>
      </x:c>
      <x:c r="L323" t="str">
        <x:v>Partial</x:v>
      </x:c>
      <x:c r="M323" t="str">
        <x:v>Mismatch</x:v>
      </x:c>
    </x:row>
    <x:row r="324">
      <x:c r="A324" t="str">
        <x:v>PO500322</x:v>
      </x:c>
      <x:c r="B324" t="str">
        <x:v>2026-03-03</x:v>
      </x:c>
      <x:c r="C324" t="str">
        <x:v>V1022</x:v>
      </x:c>
      <x:c r="D324" t="str">
        <x:v>MAT2046</x:v>
      </x:c>
      <x:c r="E324" t="n">
        <x:v>330</x:v>
      </x:c>
      <x:c r="F324" t="n">
        <x:v>330</x:v>
      </x:c>
      <x:c r="G324" s="8" t="n">
        <x:v>1033.21</x:v>
      </x:c>
      <x:c r="H324" s="8" t="n">
        <x:v>340959.3</x:v>
      </x:c>
      <x:c r="I324" t="str">
        <x:v>2026-03-12</x:v>
      </x:c>
      <x:c r="J324" t="str">
        <x:v>2026-03-13</x:v>
      </x:c>
      <x:c r="K324" t="n">
        <x:v>1</x:v>
      </x:c>
      <x:c r="L324" t="str">
        <x:v>Complete</x:v>
      </x:c>
      <x:c r="M324" t="str">
        <x:v>Matched</x:v>
      </x:c>
    </x:row>
    <x:row r="325">
      <x:c r="A325" t="str">
        <x:v>PO500323</x:v>
      </x:c>
      <x:c r="B325" t="str">
        <x:v>2026-05-21</x:v>
      </x:c>
      <x:c r="C325" t="str">
        <x:v>V1000</x:v>
      </x:c>
      <x:c r="D325" t="str">
        <x:v>MAT2047</x:v>
      </x:c>
      <x:c r="E325" t="n">
        <x:v>140</x:v>
      </x:c>
      <x:c r="F325" t="n">
        <x:v>140</x:v>
      </x:c>
      <x:c r="G325" s="8" t="n">
        <x:v>345.22</x:v>
      </x:c>
      <x:c r="H325" s="8" t="n">
        <x:v>48330.8</x:v>
      </x:c>
      <x:c r="I325" t="str">
        <x:v>2026-05-24</x:v>
      </x:c>
      <x:c r="J325" t="str">
        <x:v>2026-05-24</x:v>
      </x:c>
      <x:c r="K325" t="n">
        <x:v>0</x:v>
      </x:c>
      <x:c r="L325" t="str">
        <x:v>Complete</x:v>
      </x:c>
      <x:c r="M325" t="str">
        <x:v>Matched</x:v>
      </x:c>
    </x:row>
    <x:row r="326">
      <x:c r="A326" t="str">
        <x:v>PO500324</x:v>
      </x:c>
      <x:c r="B326" t="str">
        <x:v>2026-03-13</x:v>
      </x:c>
      <x:c r="C326" t="str">
        <x:v>V1015</x:v>
      </x:c>
      <x:c r="D326" t="str">
        <x:v>MAT2063</x:v>
      </x:c>
      <x:c r="E326" t="n">
        <x:v>181</x:v>
      </x:c>
      <x:c r="F326" t="n">
        <x:v>181</x:v>
      </x:c>
      <x:c r="G326" s="8" t="n">
        <x:v>1734.05</x:v>
      </x:c>
      <x:c r="H326" s="8" t="n">
        <x:v>313863.05</x:v>
      </x:c>
      <x:c r="I326" t="str">
        <x:v>2026-03-18</x:v>
      </x:c>
      <x:c r="J326" t="str">
        <x:v>2026-03-19</x:v>
      </x:c>
      <x:c r="K326" t="n">
        <x:v>1</x:v>
      </x:c>
      <x:c r="L326" t="str">
        <x:v>Complete</x:v>
      </x:c>
      <x:c r="M326" t="str">
        <x:v>Mismatch</x:v>
      </x:c>
    </x:row>
    <x:row r="327">
      <x:c r="A327" t="str">
        <x:v>PO500325</x:v>
      </x:c>
      <x:c r="B327" t="str">
        <x:v>2026-08-15</x:v>
      </x:c>
      <x:c r="C327" t="str">
        <x:v>V1002</x:v>
      </x:c>
      <x:c r="D327" t="str">
        <x:v>MAT2009</x:v>
      </x:c>
      <x:c r="E327" t="n">
        <x:v>274</x:v>
      </x:c>
      <x:c r="F327" t="n">
        <x:v>266</x:v>
      </x:c>
      <x:c r="G327" s="8" t="n">
        <x:v>491.91</x:v>
      </x:c>
      <x:c r="H327" s="8" t="n">
        <x:v>134783.34</x:v>
      </x:c>
      <x:c r="I327" t="str">
        <x:v>2026-08-30</x:v>
      </x:c>
      <x:c r="J327" t="str">
        <x:v>2026-09-04</x:v>
      </x:c>
      <x:c r="K327" t="n">
        <x:v>5</x:v>
      </x:c>
      <x:c r="L327" t="str">
        <x:v>Partial</x:v>
      </x:c>
      <x:c r="M327" t="str">
        <x:v>Mismatch</x:v>
      </x:c>
    </x:row>
    <x:row r="328">
      <x:c r="A328" t="str">
        <x:v>PO500326</x:v>
      </x:c>
      <x:c r="B328" t="str">
        <x:v>2026-04-13</x:v>
      </x:c>
      <x:c r="C328" t="str">
        <x:v>V1014</x:v>
      </x:c>
      <x:c r="D328" t="str">
        <x:v>MAT2078</x:v>
      </x:c>
      <x:c r="E328" t="n">
        <x:v>381</x:v>
      </x:c>
      <x:c r="F328" t="n">
        <x:v>345</x:v>
      </x:c>
      <x:c r="G328" s="8" t="n">
        <x:v>738.08</x:v>
      </x:c>
      <x:c r="H328" s="8" t="n">
        <x:v>281208.48</x:v>
      </x:c>
      <x:c r="I328" t="str">
        <x:v>2026-04-27</x:v>
      </x:c>
      <x:c r="J328" t="str">
        <x:v>2026-04-27</x:v>
      </x:c>
      <x:c r="K328" t="n">
        <x:v>0</x:v>
      </x:c>
      <x:c r="L328" t="str">
        <x:v>Partial</x:v>
      </x:c>
      <x:c r="M328" t="str">
        <x:v>Matched</x:v>
      </x:c>
    </x:row>
    <x:row r="329">
      <x:c r="A329" t="str">
        <x:v>PO500327</x:v>
      </x:c>
      <x:c r="B329" t="str">
        <x:v>2026-06-09</x:v>
      </x:c>
      <x:c r="C329" t="str">
        <x:v>V1034</x:v>
      </x:c>
      <x:c r="D329" t="str">
        <x:v>MAT2020</x:v>
      </x:c>
      <x:c r="E329" t="n">
        <x:v>262</x:v>
      </x:c>
      <x:c r="F329" t="n">
        <x:v>262</x:v>
      </x:c>
      <x:c r="G329" s="8" t="n">
        <x:v>371.96</x:v>
      </x:c>
      <x:c r="H329" s="8" t="n">
        <x:v>97453.52</x:v>
      </x:c>
      <x:c r="I329" t="str">
        <x:v>2026-06-13</x:v>
      </x:c>
      <x:c r="J329" t="str">
        <x:v>2026-06-13</x:v>
      </x:c>
      <x:c r="K329" t="n">
        <x:v>0</x:v>
      </x:c>
      <x:c r="L329" t="str">
        <x:v>Complete</x:v>
      </x:c>
      <x:c r="M329" t="str">
        <x:v>Matched</x:v>
      </x:c>
    </x:row>
    <x:row r="330">
      <x:c r="A330" t="str">
        <x:v>PO500328</x:v>
      </x:c>
      <x:c r="B330" t="str">
        <x:v>2026-06-21</x:v>
      </x:c>
      <x:c r="C330" t="str">
        <x:v>V1004</x:v>
      </x:c>
      <x:c r="D330" t="str">
        <x:v>MAT2002</x:v>
      </x:c>
      <x:c r="E330" t="n">
        <x:v>442</x:v>
      </x:c>
      <x:c r="F330" t="n">
        <x:v>442</x:v>
      </x:c>
      <x:c r="G330" s="8" t="n">
        <x:v>1758.64</x:v>
      </x:c>
      <x:c r="H330" s="8" t="n">
        <x:v>777318.88</x:v>
      </x:c>
      <x:c r="I330" t="str">
        <x:v>2026-07-09</x:v>
      </x:c>
      <x:c r="J330" t="str">
        <x:v>2026-07-09</x:v>
      </x:c>
      <x:c r="K330" t="n">
        <x:v>0</x:v>
      </x:c>
      <x:c r="L330" t="str">
        <x:v>Complete</x:v>
      </x:c>
      <x:c r="M330" t="str">
        <x:v>Matched</x:v>
      </x:c>
    </x:row>
    <x:row r="331">
      <x:c r="A331" t="str">
        <x:v>PO500329</x:v>
      </x:c>
      <x:c r="B331" t="str">
        <x:v>2026-01-26</x:v>
      </x:c>
      <x:c r="C331" t="str">
        <x:v>V1005</x:v>
      </x:c>
      <x:c r="D331" t="str">
        <x:v>MAT2040</x:v>
      </x:c>
      <x:c r="E331" t="n">
        <x:v>292</x:v>
      </x:c>
      <x:c r="F331" t="n">
        <x:v>279</x:v>
      </x:c>
      <x:c r="G331" s="8" t="n">
        <x:v>690.94</x:v>
      </x:c>
      <x:c r="H331" s="8" t="n">
        <x:v>201754.48</x:v>
      </x:c>
      <x:c r="I331" t="str">
        <x:v>2026-02-05</x:v>
      </x:c>
      <x:c r="J331" t="str">
        <x:v>2026-02-05</x:v>
      </x:c>
      <x:c r="K331" t="n">
        <x:v>0</x:v>
      </x:c>
      <x:c r="L331" t="str">
        <x:v>Partial</x:v>
      </x:c>
      <x:c r="M331" t="str">
        <x:v>Matched</x:v>
      </x:c>
    </x:row>
    <x:row r="332">
      <x:c r="A332" t="str">
        <x:v>PO500330</x:v>
      </x:c>
      <x:c r="B332" t="str">
        <x:v>2026-07-04</x:v>
      </x:c>
      <x:c r="C332" t="str">
        <x:v>V1019</x:v>
      </x:c>
      <x:c r="D332" t="str">
        <x:v>MAT2079</x:v>
      </x:c>
      <x:c r="E332" t="n">
        <x:v>420</x:v>
      </x:c>
      <x:c r="F332" t="n">
        <x:v>382</x:v>
      </x:c>
      <x:c r="G332" s="8" t="n">
        <x:v>2355.69</x:v>
      </x:c>
      <x:c r="H332" s="8" t="n">
        <x:v>989389.8</x:v>
      </x:c>
      <x:c r="I332" t="str">
        <x:v>2026-07-15</x:v>
      </x:c>
      <x:c r="J332" t="str">
        <x:v>2026-07-15</x:v>
      </x:c>
      <x:c r="K332" t="n">
        <x:v>0</x:v>
      </x:c>
      <x:c r="L332" t="str">
        <x:v>Partial</x:v>
      </x:c>
      <x:c r="M332" t="str">
        <x:v>Mismatch</x:v>
      </x:c>
    </x:row>
    <x:row r="333">
      <x:c r="A333" t="str">
        <x:v>PO500331</x:v>
      </x:c>
      <x:c r="B333" t="str">
        <x:v>2026-02-16</x:v>
      </x:c>
      <x:c r="C333" t="str">
        <x:v>V1020</x:v>
      </x:c>
      <x:c r="D333" t="str">
        <x:v>MAT2033</x:v>
      </x:c>
      <x:c r="E333" t="n">
        <x:v>454</x:v>
      </x:c>
      <x:c r="F333" t="n">
        <x:v>454</x:v>
      </x:c>
      <x:c r="G333" s="8" t="n">
        <x:v>937.59</x:v>
      </x:c>
      <x:c r="H333" s="8" t="n">
        <x:v>425665.86</x:v>
      </x:c>
      <x:c r="I333" t="str">
        <x:v>2026-02-22</x:v>
      </x:c>
      <x:c r="J333" t="str">
        <x:v>2026-02-22</x:v>
      </x:c>
      <x:c r="K333" t="n">
        <x:v>0</x:v>
      </x:c>
      <x:c r="L333" t="str">
        <x:v>Complete</x:v>
      </x:c>
      <x:c r="M333" t="str">
        <x:v>Pending</x:v>
      </x:c>
    </x:row>
    <x:row r="334">
      <x:c r="A334" t="str">
        <x:v>PO500332</x:v>
      </x:c>
      <x:c r="B334" t="str">
        <x:v>2026-07-21</x:v>
      </x:c>
      <x:c r="C334" t="str">
        <x:v>V1032</x:v>
      </x:c>
      <x:c r="D334" t="str">
        <x:v>MAT2033</x:v>
      </x:c>
      <x:c r="E334" t="n">
        <x:v>154</x:v>
      </x:c>
      <x:c r="F334" t="n">
        <x:v>154</x:v>
      </x:c>
      <x:c r="G334" s="8" t="n">
        <x:v>566.06</x:v>
      </x:c>
      <x:c r="H334" s="8" t="n">
        <x:v>87173.24</x:v>
      </x:c>
      <x:c r="I334" t="str">
        <x:v>2026-08-10</x:v>
      </x:c>
      <x:c r="J334" t="str">
        <x:v>2026-08-10</x:v>
      </x:c>
      <x:c r="K334" t="n">
        <x:v>0</x:v>
      </x:c>
      <x:c r="L334" t="str">
        <x:v>Complete</x:v>
      </x:c>
      <x:c r="M334" t="str">
        <x:v>Matched</x:v>
      </x:c>
    </x:row>
    <x:row r="335">
      <x:c r="A335" t="str">
        <x:v>PO500333</x:v>
      </x:c>
      <x:c r="B335" t="str">
        <x:v>2026-06-30</x:v>
      </x:c>
      <x:c r="C335" t="str">
        <x:v>V1027</x:v>
      </x:c>
      <x:c r="D335" t="str">
        <x:v>MAT2023</x:v>
      </x:c>
      <x:c r="E335" t="n">
        <x:v>474</x:v>
      </x:c>
      <x:c r="F335" t="n">
        <x:v>474</x:v>
      </x:c>
      <x:c r="G335" s="8" t="n">
        <x:v>2364.84</x:v>
      </x:c>
      <x:c r="H335" s="8" t="n">
        <x:v>1120934.16</x:v>
      </x:c>
      <x:c r="I335" t="str">
        <x:v>2026-07-09</x:v>
      </x:c>
      <x:c r="J335" t="str">
        <x:v>2026-07-09</x:v>
      </x:c>
      <x:c r="K335" t="n">
        <x:v>0</x:v>
      </x:c>
      <x:c r="L335" t="str">
        <x:v>Complete</x:v>
      </x:c>
      <x:c r="M335" t="str">
        <x:v>Mismatch</x:v>
      </x:c>
    </x:row>
    <x:row r="336">
      <x:c r="A336" t="str">
        <x:v>PO500334</x:v>
      </x:c>
      <x:c r="B336" t="str">
        <x:v>2026-02-18</x:v>
      </x:c>
      <x:c r="C336" t="str">
        <x:v>V1021</x:v>
      </x:c>
      <x:c r="D336" t="str">
        <x:v>MAT2042</x:v>
      </x:c>
      <x:c r="E336" t="n">
        <x:v>58</x:v>
      </x:c>
      <x:c r="F336" t="n">
        <x:v>58</x:v>
      </x:c>
      <x:c r="G336" s="8" t="n">
        <x:v>987.51</x:v>
      </x:c>
      <x:c r="H336" s="8" t="n">
        <x:v>57275.58</x:v>
      </x:c>
      <x:c r="I336" t="str">
        <x:v>2026-03-02</x:v>
      </x:c>
      <x:c r="J336" t="str">
        <x:v>2026-03-02</x:v>
      </x:c>
      <x:c r="K336" t="n">
        <x:v>0</x:v>
      </x:c>
      <x:c r="L336" t="str">
        <x:v>Complete</x:v>
      </x:c>
      <x:c r="M336" t="str">
        <x:v>Matched</x:v>
      </x:c>
    </x:row>
    <x:row r="337">
      <x:c r="A337" t="str">
        <x:v>PO500335</x:v>
      </x:c>
      <x:c r="B337" t="str">
        <x:v>2026-06-09</x:v>
      </x:c>
      <x:c r="C337" t="str">
        <x:v>V1006</x:v>
      </x:c>
      <x:c r="D337" t="str">
        <x:v>MAT2072</x:v>
      </x:c>
      <x:c r="E337" t="n">
        <x:v>342</x:v>
      </x:c>
      <x:c r="F337" t="n">
        <x:v>326</x:v>
      </x:c>
      <x:c r="G337" s="8" t="n">
        <x:v>2096.94</x:v>
      </x:c>
      <x:c r="H337" s="8" t="n">
        <x:v>717153.48</x:v>
      </x:c>
      <x:c r="I337" t="str">
        <x:v>2026-06-26</x:v>
      </x:c>
      <x:c r="J337" t="str">
        <x:v>2026-06-26</x:v>
      </x:c>
      <x:c r="K337" t="n">
        <x:v>0</x:v>
      </x:c>
      <x:c r="L337" t="str">
        <x:v>Partial</x:v>
      </x:c>
      <x:c r="M337" t="str">
        <x:v>Matched</x:v>
      </x:c>
    </x:row>
    <x:row r="338">
      <x:c r="A338" t="str">
        <x:v>PO500336</x:v>
      </x:c>
      <x:c r="B338" t="str">
        <x:v>2026-05-20</x:v>
      </x:c>
      <x:c r="C338" t="str">
        <x:v>V1028</x:v>
      </x:c>
      <x:c r="D338" t="str">
        <x:v>MAT2010</x:v>
      </x:c>
      <x:c r="E338" t="n">
        <x:v>81</x:v>
      </x:c>
      <x:c r="F338" t="n">
        <x:v>81</x:v>
      </x:c>
      <x:c r="G338" s="8" t="n">
        <x:v>58.12</x:v>
      </x:c>
      <x:c r="H338" s="8" t="n">
        <x:v>4707.72</x:v>
      </x:c>
      <x:c r="I338" t="str">
        <x:v>2026-06-07</x:v>
      </x:c>
      <x:c r="J338" t="str">
        <x:v>2026-06-07</x:v>
      </x:c>
      <x:c r="K338" t="n">
        <x:v>0</x:v>
      </x:c>
      <x:c r="L338" t="str">
        <x:v>Complete</x:v>
      </x:c>
      <x:c r="M338" t="str">
        <x:v>Mismatch</x:v>
      </x:c>
    </x:row>
    <x:row r="339">
      <x:c r="A339" t="str">
        <x:v>PO500337</x:v>
      </x:c>
      <x:c r="B339" t="str">
        <x:v>2026-02-01</x:v>
      </x:c>
      <x:c r="C339" t="str">
        <x:v>V1022</x:v>
      </x:c>
      <x:c r="D339" t="str">
        <x:v>MAT2077</x:v>
      </x:c>
      <x:c r="E339" t="n">
        <x:v>331</x:v>
      </x:c>
      <x:c r="F339" t="n">
        <x:v>331</x:v>
      </x:c>
      <x:c r="G339" s="8" t="n">
        <x:v>734.73</x:v>
      </x:c>
      <x:c r="H339" s="8" t="n">
        <x:v>243195.63</x:v>
      </x:c>
      <x:c r="I339" t="str">
        <x:v>2026-02-15</x:v>
      </x:c>
      <x:c r="J339" t="str">
        <x:v>2026-02-15</x:v>
      </x:c>
      <x:c r="K339" t="n">
        <x:v>0</x:v>
      </x:c>
      <x:c r="L339" t="str">
        <x:v>Complete</x:v>
      </x:c>
      <x:c r="M339" t="str">
        <x:v>Matched</x:v>
      </x:c>
    </x:row>
    <x:row r="340">
      <x:c r="A340" t="str">
        <x:v>PO500338</x:v>
      </x:c>
      <x:c r="B340" t="str">
        <x:v>2026-08-27</x:v>
      </x:c>
      <x:c r="C340" t="str">
        <x:v>V1008</x:v>
      </x:c>
      <x:c r="D340" t="str">
        <x:v>MAT2038</x:v>
      </x:c>
      <x:c r="E340" t="n">
        <x:v>254</x:v>
      </x:c>
      <x:c r="F340" t="n">
        <x:v>254</x:v>
      </x:c>
      <x:c r="G340" s="8" t="n">
        <x:v>1439.84</x:v>
      </x:c>
      <x:c r="H340" s="8" t="n">
        <x:v>365719.36</x:v>
      </x:c>
      <x:c r="I340" t="str">
        <x:v>2026-09-02</x:v>
      </x:c>
      <x:c r="J340" t="str">
        <x:v>2026-09-02</x:v>
      </x:c>
      <x:c r="K340" t="n">
        <x:v>0</x:v>
      </x:c>
      <x:c r="L340" t="str">
        <x:v>Complete</x:v>
      </x:c>
      <x:c r="M340" t="str">
        <x:v>Mismatch</x:v>
      </x:c>
    </x:row>
    <x:row r="341">
      <x:c r="A341" t="str">
        <x:v>PO500339</x:v>
      </x:c>
      <x:c r="B341" t="str">
        <x:v>2026-08-08</x:v>
      </x:c>
      <x:c r="C341" t="str">
        <x:v>V1021</x:v>
      </x:c>
      <x:c r="D341" t="str">
        <x:v>MAT2050</x:v>
      </x:c>
      <x:c r="E341" t="n">
        <x:v>196</x:v>
      </x:c>
      <x:c r="F341" t="n">
        <x:v>196</x:v>
      </x:c>
      <x:c r="G341" s="8" t="n">
        <x:v>1493.25</x:v>
      </x:c>
      <x:c r="H341" s="8" t="n">
        <x:v>292677</x:v>
      </x:c>
      <x:c r="I341" t="str">
        <x:v>2026-08-17</x:v>
      </x:c>
      <x:c r="J341" t="str">
        <x:v>2026-08-22</x:v>
      </x:c>
      <x:c r="K341" t="n">
        <x:v>5</x:v>
      </x:c>
      <x:c r="L341" t="str">
        <x:v>Complete</x:v>
      </x:c>
      <x:c r="M341" t="str">
        <x:v>Pending</x:v>
      </x:c>
    </x:row>
    <x:row r="342">
      <x:c r="A342" t="str">
        <x:v>PO500340</x:v>
      </x:c>
      <x:c r="B342" t="str">
        <x:v>2026-07-15</x:v>
      </x:c>
      <x:c r="C342" t="str">
        <x:v>V1012</x:v>
      </x:c>
      <x:c r="D342" t="str">
        <x:v>MAT2018</x:v>
      </x:c>
      <x:c r="E342" t="n">
        <x:v>61</x:v>
      </x:c>
      <x:c r="F342" t="n">
        <x:v>61</x:v>
      </x:c>
      <x:c r="G342" s="8" t="n">
        <x:v>2413.6</x:v>
      </x:c>
      <x:c r="H342" s="8" t="n">
        <x:v>147229.6</x:v>
      </x:c>
      <x:c r="I342" t="str">
        <x:v>2026-07-24</x:v>
      </x:c>
      <x:c r="J342" t="str">
        <x:v>2026-07-24</x:v>
      </x:c>
      <x:c r="K342" t="n">
        <x:v>0</x:v>
      </x:c>
      <x:c r="L342" t="str">
        <x:v>Complete</x:v>
      </x:c>
      <x:c r="M342" t="str">
        <x:v>Pending</x:v>
      </x:c>
    </x:row>
    <x:row r="343">
      <x:c r="A343" t="str">
        <x:v>PO500341</x:v>
      </x:c>
      <x:c r="B343" t="str">
        <x:v>2026-08-14</x:v>
      </x:c>
      <x:c r="C343" t="str">
        <x:v>V1025</x:v>
      </x:c>
      <x:c r="D343" t="str">
        <x:v>MAT2023</x:v>
      </x:c>
      <x:c r="E343" t="n">
        <x:v>349</x:v>
      </x:c>
      <x:c r="F343" t="n">
        <x:v>349</x:v>
      </x:c>
      <x:c r="G343" s="8" t="n">
        <x:v>1301.42</x:v>
      </x:c>
      <x:c r="H343" s="8" t="n">
        <x:v>454195.58</x:v>
      </x:c>
      <x:c r="I343" t="str">
        <x:v>2026-08-29</x:v>
      </x:c>
      <x:c r="J343" t="str">
        <x:v>2026-09-03</x:v>
      </x:c>
      <x:c r="K343" t="n">
        <x:v>5</x:v>
      </x:c>
      <x:c r="L343" t="str">
        <x:v>Complete</x:v>
      </x:c>
      <x:c r="M343" t="str">
        <x:v>Matched</x:v>
      </x:c>
    </x:row>
    <x:row r="344">
      <x:c r="A344" t="str">
        <x:v>PO500342</x:v>
      </x:c>
      <x:c r="B344" t="str">
        <x:v>2026-07-08</x:v>
      </x:c>
      <x:c r="C344" t="str">
        <x:v>V1026</x:v>
      </x:c>
      <x:c r="D344" t="str">
        <x:v>MAT2018</x:v>
      </x:c>
      <x:c r="E344" t="n">
        <x:v>72</x:v>
      </x:c>
      <x:c r="F344" t="n">
        <x:v>72</x:v>
      </x:c>
      <x:c r="G344" s="8" t="n">
        <x:v>42.58</x:v>
      </x:c>
      <x:c r="H344" s="8" t="n">
        <x:v>3065.76</x:v>
      </x:c>
      <x:c r="I344" t="str">
        <x:v>2026-07-23</x:v>
      </x:c>
      <x:c r="J344" t="str">
        <x:v>2026-07-23</x:v>
      </x:c>
      <x:c r="K344" t="n">
        <x:v>0</x:v>
      </x:c>
      <x:c r="L344" t="str">
        <x:v>Complete</x:v>
      </x:c>
      <x:c r="M344" t="str">
        <x:v>Pending</x:v>
      </x:c>
    </x:row>
    <x:row r="345">
      <x:c r="A345" t="str">
        <x:v>PO500343</x:v>
      </x:c>
      <x:c r="B345" t="str">
        <x:v>2026-01-18</x:v>
      </x:c>
      <x:c r="C345" t="str">
        <x:v>V1034</x:v>
      </x:c>
      <x:c r="D345" t="str">
        <x:v>MAT2044</x:v>
      </x:c>
      <x:c r="E345" t="n">
        <x:v>361</x:v>
      </x:c>
      <x:c r="F345" t="n">
        <x:v>361</x:v>
      </x:c>
      <x:c r="G345" s="8" t="n">
        <x:v>704.64</x:v>
      </x:c>
      <x:c r="H345" s="8" t="n">
        <x:v>254375.04</x:v>
      </x:c>
      <x:c r="I345" t="str">
        <x:v>2026-01-27</x:v>
      </x:c>
      <x:c r="J345" t="str">
        <x:v>2026-01-27</x:v>
      </x:c>
      <x:c r="K345" t="n">
        <x:v>0</x:v>
      </x:c>
      <x:c r="L345" t="str">
        <x:v>Complete</x:v>
      </x:c>
      <x:c r="M345" t="str">
        <x:v>Matched</x:v>
      </x:c>
    </x:row>
    <x:row r="346">
      <x:c r="A346" t="str">
        <x:v>PO500344</x:v>
      </x:c>
      <x:c r="B346" t="str">
        <x:v>2026-08-02</x:v>
      </x:c>
      <x:c r="C346" t="str">
        <x:v>V1016</x:v>
      </x:c>
      <x:c r="D346" t="str">
        <x:v>MAT2045</x:v>
      </x:c>
      <x:c r="E346" t="n">
        <x:v>468</x:v>
      </x:c>
      <x:c r="F346" t="n">
        <x:v>468</x:v>
      </x:c>
      <x:c r="G346" s="8" t="n">
        <x:v>680.89</x:v>
      </x:c>
      <x:c r="H346" s="8" t="n">
        <x:v>318656.52</x:v>
      </x:c>
      <x:c r="I346" t="str">
        <x:v>2026-08-10</x:v>
      </x:c>
      <x:c r="J346" t="str">
        <x:v>2026-08-13</x:v>
      </x:c>
      <x:c r="K346" t="n">
        <x:v>3</x:v>
      </x:c>
      <x:c r="L346" t="str">
        <x:v>Complete</x:v>
      </x:c>
      <x:c r="M346" t="str">
        <x:v>Matched</x:v>
      </x:c>
    </x:row>
    <x:row r="347">
      <x:c r="A347" t="str">
        <x:v>PO500345</x:v>
      </x:c>
      <x:c r="B347" t="str">
        <x:v>2026-05-23</x:v>
      </x:c>
      <x:c r="C347" t="str">
        <x:v>V1005</x:v>
      </x:c>
      <x:c r="D347" t="str">
        <x:v>MAT2029</x:v>
      </x:c>
      <x:c r="E347" t="n">
        <x:v>161</x:v>
      </x:c>
      <x:c r="F347" t="n">
        <x:v>161</x:v>
      </x:c>
      <x:c r="G347" s="8" t="n">
        <x:v>1004.72</x:v>
      </x:c>
      <x:c r="H347" s="8" t="n">
        <x:v>161759.92</x:v>
      </x:c>
      <x:c r="I347" t="str">
        <x:v>2026-05-27</x:v>
      </x:c>
      <x:c r="J347" t="str">
        <x:v>2026-05-27</x:v>
      </x:c>
      <x:c r="K347" t="n">
        <x:v>0</x:v>
      </x:c>
      <x:c r="L347" t="str">
        <x:v>Complete</x:v>
      </x:c>
      <x:c r="M347" t="str">
        <x:v>Matched</x:v>
      </x:c>
    </x:row>
    <x:row r="348">
      <x:c r="A348" t="str">
        <x:v>PO500346</x:v>
      </x:c>
      <x:c r="B348" t="str">
        <x:v>2026-01-29</x:v>
      </x:c>
      <x:c r="C348" t="str">
        <x:v>V1021</x:v>
      </x:c>
      <x:c r="D348" t="str">
        <x:v>MAT2028</x:v>
      </x:c>
      <x:c r="E348" t="n">
        <x:v>41</x:v>
      </x:c>
      <x:c r="F348" t="n">
        <x:v>41</x:v>
      </x:c>
      <x:c r="G348" s="8" t="n">
        <x:v>1320.19</x:v>
      </x:c>
      <x:c r="H348" s="8" t="n">
        <x:v>54127.79</x:v>
      </x:c>
      <x:c r="I348" t="str">
        <x:v>2026-02-17</x:v>
      </x:c>
      <x:c r="J348" t="str">
        <x:v>2026-02-17</x:v>
      </x:c>
      <x:c r="K348" t="n">
        <x:v>0</x:v>
      </x:c>
      <x:c r="L348" t="str">
        <x:v>Complete</x:v>
      </x:c>
      <x:c r="M348" t="str">
        <x:v>Pending</x:v>
      </x:c>
    </x:row>
    <x:row r="349">
      <x:c r="A349" t="str">
        <x:v>PO500347</x:v>
      </x:c>
      <x:c r="B349" t="str">
        <x:v>2026-03-09</x:v>
      </x:c>
      <x:c r="C349" t="str">
        <x:v>V1014</x:v>
      </x:c>
      <x:c r="D349" t="str">
        <x:v>MAT2048</x:v>
      </x:c>
      <x:c r="E349" t="n">
        <x:v>234</x:v>
      </x:c>
      <x:c r="F349" t="n">
        <x:v>226</x:v>
      </x:c>
      <x:c r="G349" s="8" t="n">
        <x:v>567.31</x:v>
      </x:c>
      <x:c r="H349" s="8" t="n">
        <x:v>132750.54</x:v>
      </x:c>
      <x:c r="I349" t="str">
        <x:v>2026-03-12</x:v>
      </x:c>
      <x:c r="J349" t="str">
        <x:v>2026-03-12</x:v>
      </x:c>
      <x:c r="K349" t="n">
        <x:v>0</x:v>
      </x:c>
      <x:c r="L349" t="str">
        <x:v>Partial</x:v>
      </x:c>
      <x:c r="M349" t="str">
        <x:v>Matched</x:v>
      </x:c>
    </x:row>
    <x:row r="350">
      <x:c r="A350" t="str">
        <x:v>PO500348</x:v>
      </x:c>
      <x:c r="B350" t="str">
        <x:v>2026-03-10</x:v>
      </x:c>
      <x:c r="C350" t="str">
        <x:v>V1019</x:v>
      </x:c>
      <x:c r="D350" t="str">
        <x:v>MAT2027</x:v>
      </x:c>
      <x:c r="E350" t="n">
        <x:v>93</x:v>
      </x:c>
      <x:c r="F350" t="n">
        <x:v>93</x:v>
      </x:c>
      <x:c r="G350" s="8" t="n">
        <x:v>1718.6</x:v>
      </x:c>
      <x:c r="H350" s="8" t="n">
        <x:v>159829.8</x:v>
      </x:c>
      <x:c r="I350" t="str">
        <x:v>2026-03-17</x:v>
      </x:c>
      <x:c r="J350" t="str">
        <x:v>2026-03-17</x:v>
      </x:c>
      <x:c r="K350" t="n">
        <x:v>0</x:v>
      </x:c>
      <x:c r="L350" t="str">
        <x:v>Complete</x:v>
      </x:c>
      <x:c r="M350" t="str">
        <x:v>Pending</x:v>
      </x:c>
    </x:row>
    <x:row r="351">
      <x:c r="A351" t="str">
        <x:v>PO500349</x:v>
      </x:c>
      <x:c r="B351" t="str">
        <x:v>2026-03-19</x:v>
      </x:c>
      <x:c r="C351" t="str">
        <x:v>V1002</x:v>
      </x:c>
      <x:c r="D351" t="str">
        <x:v>MAT2077</x:v>
      </x:c>
      <x:c r="E351" t="n">
        <x:v>87</x:v>
      </x:c>
      <x:c r="F351" t="n">
        <x:v>85</x:v>
      </x:c>
      <x:c r="G351" s="8" t="n">
        <x:v>2226.39</x:v>
      </x:c>
      <x:c r="H351" s="8" t="n">
        <x:v>193695.93</x:v>
      </x:c>
      <x:c r="I351" t="str">
        <x:v>2026-04-03</x:v>
      </x:c>
      <x:c r="J351" t="str">
        <x:v>2026-04-03</x:v>
      </x:c>
      <x:c r="K351" t="n">
        <x:v>0</x:v>
      </x:c>
      <x:c r="L351" t="str">
        <x:v>Partial</x:v>
      </x:c>
      <x:c r="M351" t="str">
        <x:v>Matched</x:v>
      </x:c>
    </x:row>
    <x:row r="352">
      <x:c r="A352" t="str">
        <x:v>PO500350</x:v>
      </x:c>
      <x:c r="B352" t="str">
        <x:v>2026-01-04</x:v>
      </x:c>
      <x:c r="C352" t="str">
        <x:v>V1021</x:v>
      </x:c>
      <x:c r="D352" t="str">
        <x:v>MAT2017</x:v>
      </x:c>
      <x:c r="E352" t="n">
        <x:v>487</x:v>
      </x:c>
      <x:c r="F352" t="n">
        <x:v>450</x:v>
      </x:c>
      <x:c r="G352" s="8" t="n">
        <x:v>1083.55</x:v>
      </x:c>
      <x:c r="H352" s="8" t="n">
        <x:v>527688.85</x:v>
      </x:c>
      <x:c r="I352" t="str">
        <x:v>2026-01-08</x:v>
      </x:c>
      <x:c r="J352" t="str">
        <x:v>2026-01-10</x:v>
      </x:c>
      <x:c r="K352" t="n">
        <x:v>2</x:v>
      </x:c>
      <x:c r="L352" t="str">
        <x:v>Partial</x:v>
      </x:c>
      <x:c r="M352" t="str">
        <x:v>Matched</x:v>
      </x:c>
    </x:row>
    <x:row r="353">
      <x:c r="A353" t="str">
        <x:v>PO500351</x:v>
      </x:c>
      <x:c r="B353" t="str">
        <x:v>2026-07-24</x:v>
      </x:c>
      <x:c r="C353" t="str">
        <x:v>V1032</x:v>
      </x:c>
      <x:c r="D353" t="str">
        <x:v>MAT2072</x:v>
      </x:c>
      <x:c r="E353" t="n">
        <x:v>202</x:v>
      </x:c>
      <x:c r="F353" t="n">
        <x:v>202</x:v>
      </x:c>
      <x:c r="G353" s="8" t="n">
        <x:v>2252.86</x:v>
      </x:c>
      <x:c r="H353" s="8" t="n">
        <x:v>455077.72</x:v>
      </x:c>
      <x:c r="I353" t="str">
        <x:v>2026-07-31</x:v>
      </x:c>
      <x:c r="J353" t="str">
        <x:v>2026-07-31</x:v>
      </x:c>
      <x:c r="K353" t="n">
        <x:v>0</x:v>
      </x:c>
      <x:c r="L353" t="str">
        <x:v>Complete</x:v>
      </x:c>
      <x:c r="M353" t="str">
        <x:v>Matched</x:v>
      </x:c>
    </x:row>
    <x:row r="354">
      <x:c r="A354" t="str">
        <x:v>PO500352</x:v>
      </x:c>
      <x:c r="B354" t="str">
        <x:v>2026-05-03</x:v>
      </x:c>
      <x:c r="C354" t="str">
        <x:v>V1031</x:v>
      </x:c>
      <x:c r="D354" t="str">
        <x:v>MAT2027</x:v>
      </x:c>
      <x:c r="E354" t="n">
        <x:v>284</x:v>
      </x:c>
      <x:c r="F354" t="n">
        <x:v>284</x:v>
      </x:c>
      <x:c r="G354" s="8" t="n">
        <x:v>2005.61</x:v>
      </x:c>
      <x:c r="H354" s="8" t="n">
        <x:v>569593.24</x:v>
      </x:c>
      <x:c r="I354" t="str">
        <x:v>2026-05-13</x:v>
      </x:c>
      <x:c r="J354" t="str">
        <x:v>2026-05-15</x:v>
      </x:c>
      <x:c r="K354" t="n">
        <x:v>2</x:v>
      </x:c>
      <x:c r="L354" t="str">
        <x:v>Complete</x:v>
      </x:c>
      <x:c r="M354" t="str">
        <x:v>Pending</x:v>
      </x:c>
    </x:row>
    <x:row r="355">
      <x:c r="A355" t="str">
        <x:v>PO500353</x:v>
      </x:c>
      <x:c r="B355" t="str">
        <x:v>2026-06-12</x:v>
      </x:c>
      <x:c r="C355" t="str">
        <x:v>V1010</x:v>
      </x:c>
      <x:c r="D355" t="str">
        <x:v>MAT2038</x:v>
      </x:c>
      <x:c r="E355" t="n">
        <x:v>478</x:v>
      </x:c>
      <x:c r="F355" t="n">
        <x:v>478</x:v>
      </x:c>
      <x:c r="G355" s="8" t="n">
        <x:v>1520.76</x:v>
      </x:c>
      <x:c r="H355" s="8" t="n">
        <x:v>726923.28</x:v>
      </x:c>
      <x:c r="I355" t="str">
        <x:v>2026-06-29</x:v>
      </x:c>
      <x:c r="J355" t="str">
        <x:v>2026-07-02</x:v>
      </x:c>
      <x:c r="K355" t="n">
        <x:v>3</x:v>
      </x:c>
      <x:c r="L355" t="str">
        <x:v>Complete</x:v>
      </x:c>
      <x:c r="M355" t="str">
        <x:v>Mismatch</x:v>
      </x:c>
    </x:row>
    <x:row r="356">
      <x:c r="A356" t="str">
        <x:v>PO500354</x:v>
      </x:c>
      <x:c r="B356" t="str">
        <x:v>2026-01-10</x:v>
      </x:c>
      <x:c r="C356" t="str">
        <x:v>V1010</x:v>
      </x:c>
      <x:c r="D356" t="str">
        <x:v>MAT2077</x:v>
      </x:c>
      <x:c r="E356" t="n">
        <x:v>271</x:v>
      </x:c>
      <x:c r="F356" t="n">
        <x:v>271</x:v>
      </x:c>
      <x:c r="G356" s="8" t="n">
        <x:v>1165.62</x:v>
      </x:c>
      <x:c r="H356" s="8" t="n">
        <x:v>315883.02</x:v>
      </x:c>
      <x:c r="I356" t="str">
        <x:v>2026-01-28</x:v>
      </x:c>
      <x:c r="J356" t="str">
        <x:v>2026-01-28</x:v>
      </x:c>
      <x:c r="K356" t="n">
        <x:v>0</x:v>
      </x:c>
      <x:c r="L356" t="str">
        <x:v>Complete</x:v>
      </x:c>
      <x:c r="M356" t="str">
        <x:v>Matched</x:v>
      </x:c>
    </x:row>
    <x:row r="357">
      <x:c r="A357" t="str">
        <x:v>PO500355</x:v>
      </x:c>
      <x:c r="B357" t="str">
        <x:v>2026-02-07</x:v>
      </x:c>
      <x:c r="C357" t="str">
        <x:v>V1029</x:v>
      </x:c>
      <x:c r="D357" t="str">
        <x:v>MAT2005</x:v>
      </x:c>
      <x:c r="E357" t="n">
        <x:v>164</x:v>
      </x:c>
      <x:c r="F357" t="n">
        <x:v>164</x:v>
      </x:c>
      <x:c r="G357" s="8" t="n">
        <x:v>1589.56</x:v>
      </x:c>
      <x:c r="H357" s="8" t="n">
        <x:v>260687.84</x:v>
      </x:c>
      <x:c r="I357" t="str">
        <x:v>2026-02-14</x:v>
      </x:c>
      <x:c r="J357" t="str">
        <x:v>2026-02-19</x:v>
      </x:c>
      <x:c r="K357" t="n">
        <x:v>5</x:v>
      </x:c>
      <x:c r="L357" t="str">
        <x:v>Complete</x:v>
      </x:c>
      <x:c r="M357" t="str">
        <x:v>Matched</x:v>
      </x:c>
    </x:row>
    <x:row r="358">
      <x:c r="A358" t="str">
        <x:v>PO500356</x:v>
      </x:c>
      <x:c r="B358" t="str">
        <x:v>2026-08-21</x:v>
      </x:c>
      <x:c r="C358" t="str">
        <x:v>V1033</x:v>
      </x:c>
      <x:c r="D358" t="str">
        <x:v>MAT2018</x:v>
      </x:c>
      <x:c r="E358" t="n">
        <x:v>495</x:v>
      </x:c>
      <x:c r="F358" t="n">
        <x:v>495</x:v>
      </x:c>
      <x:c r="G358" s="8" t="n">
        <x:v>39.49</x:v>
      </x:c>
      <x:c r="H358" s="8" t="n">
        <x:v>19547.55</x:v>
      </x:c>
      <x:c r="I358" t="str">
        <x:v>2026-08-27</x:v>
      </x:c>
      <x:c r="J358" t="str">
        <x:v>2026-08-27</x:v>
      </x:c>
      <x:c r="K358" t="n">
        <x:v>0</x:v>
      </x:c>
      <x:c r="L358" t="str">
        <x:v>Complete</x:v>
      </x:c>
      <x:c r="M358" t="str">
        <x:v>Matched</x:v>
      </x:c>
    </x:row>
    <x:row r="359">
      <x:c r="A359" t="str">
        <x:v>PO500357</x:v>
      </x:c>
      <x:c r="B359" t="str">
        <x:v>2026-04-18</x:v>
      </x:c>
      <x:c r="C359" t="str">
        <x:v>V1014</x:v>
      </x:c>
      <x:c r="D359" t="str">
        <x:v>MAT2013</x:v>
      </x:c>
      <x:c r="E359" t="n">
        <x:v>470</x:v>
      </x:c>
      <x:c r="F359" t="n">
        <x:v>470</x:v>
      </x:c>
      <x:c r="G359" s="8" t="n">
        <x:v>2123.12</x:v>
      </x:c>
      <x:c r="H359" s="8" t="n">
        <x:v>997866.4</x:v>
      </x:c>
      <x:c r="I359" t="str">
        <x:v>2026-05-03</x:v>
      </x:c>
      <x:c r="J359" t="str">
        <x:v>2026-05-03</x:v>
      </x:c>
      <x:c r="K359" t="n">
        <x:v>0</x:v>
      </x:c>
      <x:c r="L359" t="str">
        <x:v>Complete</x:v>
      </x:c>
      <x:c r="M359" t="str">
        <x:v>Pending</x:v>
      </x:c>
    </x:row>
    <x:row r="360">
      <x:c r="A360" t="str">
        <x:v>PO500358</x:v>
      </x:c>
      <x:c r="B360" t="str">
        <x:v>2026-04-03</x:v>
      </x:c>
      <x:c r="C360" t="str">
        <x:v>V1034</x:v>
      </x:c>
      <x:c r="D360" t="str">
        <x:v>MAT2025</x:v>
      </x:c>
      <x:c r="E360" t="n">
        <x:v>484</x:v>
      </x:c>
      <x:c r="F360" t="n">
        <x:v>484</x:v>
      </x:c>
      <x:c r="G360" s="8" t="n">
        <x:v>32.29</x:v>
      </x:c>
      <x:c r="H360" s="8" t="n">
        <x:v>15628.36</x:v>
      </x:c>
      <x:c r="I360" t="str">
        <x:v>2026-04-23</x:v>
      </x:c>
      <x:c r="J360" t="str">
        <x:v>2026-04-23</x:v>
      </x:c>
      <x:c r="K360" t="n">
        <x:v>0</x:v>
      </x:c>
      <x:c r="L360" t="str">
        <x:v>Complete</x:v>
      </x:c>
      <x:c r="M360" t="str">
        <x:v>Matched</x:v>
      </x:c>
    </x:row>
    <x:row r="361">
      <x:c r="A361" t="str">
        <x:v>PO500359</x:v>
      </x:c>
      <x:c r="B361" t="str">
        <x:v>2026-04-18</x:v>
      </x:c>
      <x:c r="C361" t="str">
        <x:v>V1025</x:v>
      </x:c>
      <x:c r="D361" t="str">
        <x:v>MAT2079</x:v>
      </x:c>
      <x:c r="E361" t="n">
        <x:v>417</x:v>
      </x:c>
      <x:c r="F361" t="n">
        <x:v>417</x:v>
      </x:c>
      <x:c r="G361" s="8" t="n">
        <x:v>2063.12</x:v>
      </x:c>
      <x:c r="H361" s="8" t="n">
        <x:v>860321.04</x:v>
      </x:c>
      <x:c r="I361" t="str">
        <x:v>2026-05-05</x:v>
      </x:c>
      <x:c r="J361" t="str">
        <x:v>2026-05-05</x:v>
      </x:c>
      <x:c r="K361" t="n">
        <x:v>0</x:v>
      </x:c>
      <x:c r="L361" t="str">
        <x:v>Complete</x:v>
      </x:c>
      <x:c r="M361" t="str">
        <x:v>Matched</x:v>
      </x:c>
    </x:row>
    <x:row r="362">
      <x:c r="A362" t="str">
        <x:v>PO500360</x:v>
      </x:c>
      <x:c r="B362" t="str">
        <x:v>2026-04-12</x:v>
      </x:c>
      <x:c r="C362" t="str">
        <x:v>V1002</x:v>
      </x:c>
      <x:c r="D362" t="str">
        <x:v>MAT2000</x:v>
      </x:c>
      <x:c r="E362" t="n">
        <x:v>41</x:v>
      </x:c>
      <x:c r="F362" t="n">
        <x:v>41</x:v>
      </x:c>
      <x:c r="G362" s="8" t="n">
        <x:v>2040.8</x:v>
      </x:c>
      <x:c r="H362" s="8" t="n">
        <x:v>83672.8</x:v>
      </x:c>
      <x:c r="I362" t="str">
        <x:v>2026-04-29</x:v>
      </x:c>
      <x:c r="J362" t="str">
        <x:v>2026-05-02</x:v>
      </x:c>
      <x:c r="K362" t="n">
        <x:v>3</x:v>
      </x:c>
      <x:c r="L362" t="str">
        <x:v>Complete</x:v>
      </x:c>
      <x:c r="M362" t="str">
        <x:v>Pending</x:v>
      </x:c>
    </x:row>
    <x:row r="363">
      <x:c r="A363" t="str">
        <x:v>PO500361</x:v>
      </x:c>
      <x:c r="B363" t="str">
        <x:v>2026-04-21</x:v>
      </x:c>
      <x:c r="C363" t="str">
        <x:v>V1001</x:v>
      </x:c>
      <x:c r="D363" t="str">
        <x:v>MAT2002</x:v>
      </x:c>
      <x:c r="E363" t="n">
        <x:v>326</x:v>
      </x:c>
      <x:c r="F363" t="n">
        <x:v>326</x:v>
      </x:c>
      <x:c r="G363" s="8" t="n">
        <x:v>48.35</x:v>
      </x:c>
      <x:c r="H363" s="8" t="n">
        <x:v>15762.1</x:v>
      </x:c>
      <x:c r="I363" t="str">
        <x:v>2026-04-29</x:v>
      </x:c>
      <x:c r="J363" t="str">
        <x:v>2026-04-29</x:v>
      </x:c>
      <x:c r="K363" t="n">
        <x:v>0</x:v>
      </x:c>
      <x:c r="L363" t="str">
        <x:v>Complete</x:v>
      </x:c>
      <x:c r="M363" t="str">
        <x:v>Mismatch</x:v>
      </x:c>
    </x:row>
    <x:row r="364">
      <x:c r="A364" t="str">
        <x:v>PO500362</x:v>
      </x:c>
      <x:c r="B364" t="str">
        <x:v>2026-01-06</x:v>
      </x:c>
      <x:c r="C364" t="str">
        <x:v>V1007</x:v>
      </x:c>
      <x:c r="D364" t="str">
        <x:v>MAT2058</x:v>
      </x:c>
      <x:c r="E364" t="n">
        <x:v>412</x:v>
      </x:c>
      <x:c r="F364" t="n">
        <x:v>412</x:v>
      </x:c>
      <x:c r="G364" s="8" t="n">
        <x:v>1870.05</x:v>
      </x:c>
      <x:c r="H364" s="8" t="n">
        <x:v>770460.6</x:v>
      </x:c>
      <x:c r="I364" t="str">
        <x:v>2026-01-25</x:v>
      </x:c>
      <x:c r="J364" t="str">
        <x:v>2026-01-26</x:v>
      </x:c>
      <x:c r="K364" t="n">
        <x:v>1</x:v>
      </x:c>
      <x:c r="L364" t="str">
        <x:v>Complete</x:v>
      </x:c>
      <x:c r="M364" t="str">
        <x:v>Matched</x:v>
      </x:c>
    </x:row>
    <x:row r="365">
      <x:c r="A365" t="str">
        <x:v>PO500363</x:v>
      </x:c>
      <x:c r="B365" t="str">
        <x:v>2026-08-08</x:v>
      </x:c>
      <x:c r="C365" t="str">
        <x:v>V1016</x:v>
      </x:c>
      <x:c r="D365" t="str">
        <x:v>MAT2053</x:v>
      </x:c>
      <x:c r="E365" t="n">
        <x:v>28</x:v>
      </x:c>
      <x:c r="F365" t="n">
        <x:v>27</x:v>
      </x:c>
      <x:c r="G365" s="8" t="n">
        <x:v>1264.52</x:v>
      </x:c>
      <x:c r="H365" s="8" t="n">
        <x:v>35406.56</x:v>
      </x:c>
      <x:c r="I365" t="str">
        <x:v>2026-08-21</x:v>
      </x:c>
      <x:c r="J365" t="str">
        <x:v>2026-08-21</x:v>
      </x:c>
      <x:c r="K365" t="n">
        <x:v>0</x:v>
      </x:c>
      <x:c r="L365" t="str">
        <x:v>Partial</x:v>
      </x:c>
      <x:c r="M365" t="str">
        <x:v>Mismatch</x:v>
      </x:c>
    </x:row>
    <x:row r="366">
      <x:c r="A366" t="str">
        <x:v>PO500364</x:v>
      </x:c>
      <x:c r="B366" t="str">
        <x:v>2026-02-22</x:v>
      </x:c>
      <x:c r="C366" t="str">
        <x:v>V1020</x:v>
      </x:c>
      <x:c r="D366" t="str">
        <x:v>MAT2000</x:v>
      </x:c>
      <x:c r="E366" t="n">
        <x:v>362</x:v>
      </x:c>
      <x:c r="F366" t="n">
        <x:v>362</x:v>
      </x:c>
      <x:c r="G366" s="8" t="n">
        <x:v>1476.55</x:v>
      </x:c>
      <x:c r="H366" s="8" t="n">
        <x:v>534511.1</x:v>
      </x:c>
      <x:c r="I366" t="str">
        <x:v>2026-03-03</x:v>
      </x:c>
      <x:c r="J366" t="str">
        <x:v>2026-03-03</x:v>
      </x:c>
      <x:c r="K366" t="n">
        <x:v>0</x:v>
      </x:c>
      <x:c r="L366" t="str">
        <x:v>Complete</x:v>
      </x:c>
      <x:c r="M366" t="str">
        <x:v>Pending</x:v>
      </x:c>
    </x:row>
    <x:row r="367">
      <x:c r="A367" t="str">
        <x:v>PO500365</x:v>
      </x:c>
      <x:c r="B367" t="str">
        <x:v>2026-03-03</x:v>
      </x:c>
      <x:c r="C367" t="str">
        <x:v>V1024</x:v>
      </x:c>
      <x:c r="D367" t="str">
        <x:v>MAT2050</x:v>
      </x:c>
      <x:c r="E367" t="n">
        <x:v>126</x:v>
      </x:c>
      <x:c r="F367" t="n">
        <x:v>126</x:v>
      </x:c>
      <x:c r="G367" s="8" t="n">
        <x:v>1296.59</x:v>
      </x:c>
      <x:c r="H367" s="8" t="n">
        <x:v>163370.34</x:v>
      </x:c>
      <x:c r="I367" t="str">
        <x:v>2026-03-17</x:v>
      </x:c>
      <x:c r="J367" t="str">
        <x:v>2026-03-17</x:v>
      </x:c>
      <x:c r="K367" t="n">
        <x:v>0</x:v>
      </x:c>
      <x:c r="L367" t="str">
        <x:v>Complete</x:v>
      </x:c>
      <x:c r="M367" t="str">
        <x:v>Matched</x:v>
      </x:c>
    </x:row>
    <x:row r="368">
      <x:c r="A368" t="str">
        <x:v>PO500366</x:v>
      </x:c>
      <x:c r="B368" t="str">
        <x:v>2026-08-18</x:v>
      </x:c>
      <x:c r="C368" t="str">
        <x:v>V1024</x:v>
      </x:c>
      <x:c r="D368" t="str">
        <x:v>MAT2000</x:v>
      </x:c>
      <x:c r="E368" t="n">
        <x:v>87</x:v>
      </x:c>
      <x:c r="F368" t="n">
        <x:v>87</x:v>
      </x:c>
      <x:c r="G368" s="8" t="n">
        <x:v>1130.56</x:v>
      </x:c>
      <x:c r="H368" s="8" t="n">
        <x:v>98358.72</x:v>
      </x:c>
      <x:c r="I368" t="str">
        <x:v>2026-08-22</x:v>
      </x:c>
      <x:c r="J368" t="str">
        <x:v>2026-08-22</x:v>
      </x:c>
      <x:c r="K368" t="n">
        <x:v>0</x:v>
      </x:c>
      <x:c r="L368" t="str">
        <x:v>Complete</x:v>
      </x:c>
      <x:c r="M368" t="str">
        <x:v>Matched</x:v>
      </x:c>
    </x:row>
    <x:row r="369">
      <x:c r="A369" t="str">
        <x:v>PO500367</x:v>
      </x:c>
      <x:c r="B369" t="str">
        <x:v>2026-07-17</x:v>
      </x:c>
      <x:c r="C369" t="str">
        <x:v>V1034</x:v>
      </x:c>
      <x:c r="D369" t="str">
        <x:v>MAT2015</x:v>
      </x:c>
      <x:c r="E369" t="n">
        <x:v>396</x:v>
      </x:c>
      <x:c r="F369" t="n">
        <x:v>396</x:v>
      </x:c>
      <x:c r="G369" s="8" t="n">
        <x:v>2392.38</x:v>
      </x:c>
      <x:c r="H369" s="8" t="n">
        <x:v>947382.48</x:v>
      </x:c>
      <x:c r="I369" t="str">
        <x:v>2026-07-27</x:v>
      </x:c>
      <x:c r="J369" t="str">
        <x:v>2026-07-27</x:v>
      </x:c>
      <x:c r="K369" t="n">
        <x:v>0</x:v>
      </x:c>
      <x:c r="L369" t="str">
        <x:v>Complete</x:v>
      </x:c>
      <x:c r="M369" t="str">
        <x:v>Pending</x:v>
      </x:c>
    </x:row>
    <x:row r="370">
      <x:c r="A370" t="str">
        <x:v>PO500368</x:v>
      </x:c>
      <x:c r="B370" t="str">
        <x:v>2026-05-12</x:v>
      </x:c>
      <x:c r="C370" t="str">
        <x:v>V1019</x:v>
      </x:c>
      <x:c r="D370" t="str">
        <x:v>MAT2066</x:v>
      </x:c>
      <x:c r="E370" t="n">
        <x:v>399</x:v>
      </x:c>
      <x:c r="F370" t="n">
        <x:v>399</x:v>
      </x:c>
      <x:c r="G370" s="8" t="n">
        <x:v>821.05</x:v>
      </x:c>
      <x:c r="H370" s="8" t="n">
        <x:v>327598.95</x:v>
      </x:c>
      <x:c r="I370" t="str">
        <x:v>2026-05-31</x:v>
      </x:c>
      <x:c r="J370" t="str">
        <x:v>2026-05-31</x:v>
      </x:c>
      <x:c r="K370" t="n">
        <x:v>0</x:v>
      </x:c>
      <x:c r="L370" t="str">
        <x:v>Complete</x:v>
      </x:c>
      <x:c r="M370" t="str">
        <x:v>Mismatch</x:v>
      </x:c>
    </x:row>
    <x:row r="371">
      <x:c r="A371" t="str">
        <x:v>PO500369</x:v>
      </x:c>
      <x:c r="B371" t="str">
        <x:v>2026-02-27</x:v>
      </x:c>
      <x:c r="C371" t="str">
        <x:v>V1000</x:v>
      </x:c>
      <x:c r="D371" t="str">
        <x:v>MAT2062</x:v>
      </x:c>
      <x:c r="E371" t="n">
        <x:v>99</x:v>
      </x:c>
      <x:c r="F371" t="n">
        <x:v>99</x:v>
      </x:c>
      <x:c r="G371" s="8" t="n">
        <x:v>1306.48</x:v>
      </x:c>
      <x:c r="H371" s="8" t="n">
        <x:v>129341.52</x:v>
      </x:c>
      <x:c r="I371" t="str">
        <x:v>2026-03-06</x:v>
      </x:c>
      <x:c r="J371" t="str">
        <x:v>2026-03-09</x:v>
      </x:c>
      <x:c r="K371" t="n">
        <x:v>3</x:v>
      </x:c>
      <x:c r="L371" t="str">
        <x:v>Complete</x:v>
      </x:c>
      <x:c r="M371" t="str">
        <x:v>Pending</x:v>
      </x:c>
    </x:row>
    <x:row r="372">
      <x:c r="A372" t="str">
        <x:v>PO500370</x:v>
      </x:c>
      <x:c r="B372" t="str">
        <x:v>2026-02-20</x:v>
      </x:c>
      <x:c r="C372" t="str">
        <x:v>V1008</x:v>
      </x:c>
      <x:c r="D372" t="str">
        <x:v>MAT2050</x:v>
      </x:c>
      <x:c r="E372" t="n">
        <x:v>433</x:v>
      </x:c>
      <x:c r="F372" t="n">
        <x:v>416</x:v>
      </x:c>
      <x:c r="G372" s="8" t="n">
        <x:v>1547.45</x:v>
      </x:c>
      <x:c r="H372" s="8" t="n">
        <x:v>670045.85</x:v>
      </x:c>
      <x:c r="I372" t="str">
        <x:v>2026-03-10</x:v>
      </x:c>
      <x:c r="J372" t="str">
        <x:v>2026-03-10</x:v>
      </x:c>
      <x:c r="K372" t="n">
        <x:v>0</x:v>
      </x:c>
      <x:c r="L372" t="str">
        <x:v>Partial</x:v>
      </x:c>
      <x:c r="M372" t="str">
        <x:v>Matched</x:v>
      </x:c>
    </x:row>
    <x:row r="373">
      <x:c r="A373" t="str">
        <x:v>PO500371</x:v>
      </x:c>
      <x:c r="B373" t="str">
        <x:v>2026-06-20</x:v>
      </x:c>
      <x:c r="C373" t="str">
        <x:v>V1032</x:v>
      </x:c>
      <x:c r="D373" t="str">
        <x:v>MAT2048</x:v>
      </x:c>
      <x:c r="E373" t="n">
        <x:v>422</x:v>
      </x:c>
      <x:c r="F373" t="n">
        <x:v>422</x:v>
      </x:c>
      <x:c r="G373" s="8" t="n">
        <x:v>2057.12</x:v>
      </x:c>
      <x:c r="H373" s="8" t="n">
        <x:v>868104.64</x:v>
      </x:c>
      <x:c r="I373" t="str">
        <x:v>2026-07-02</x:v>
      </x:c>
      <x:c r="J373" t="str">
        <x:v>2026-07-02</x:v>
      </x:c>
      <x:c r="K373" t="n">
        <x:v>0</x:v>
      </x:c>
      <x:c r="L373" t="str">
        <x:v>Complete</x:v>
      </x:c>
      <x:c r="M373" t="str">
        <x:v>Matched</x:v>
      </x:c>
    </x:row>
    <x:row r="374">
      <x:c r="A374" t="str">
        <x:v>PO500372</x:v>
      </x:c>
      <x:c r="B374" t="str">
        <x:v>2026-06-25</x:v>
      </x:c>
      <x:c r="C374" t="str">
        <x:v>V1006</x:v>
      </x:c>
      <x:c r="D374" t="str">
        <x:v>MAT2040</x:v>
      </x:c>
      <x:c r="E374" t="n">
        <x:v>20</x:v>
      </x:c>
      <x:c r="F374" t="n">
        <x:v>20</x:v>
      </x:c>
      <x:c r="G374" s="8" t="n">
        <x:v>2287.74</x:v>
      </x:c>
      <x:c r="H374" s="8" t="n">
        <x:v>45754.8</x:v>
      </x:c>
      <x:c r="I374" t="str">
        <x:v>2026-06-30</x:v>
      </x:c>
      <x:c r="J374" t="str">
        <x:v>2026-06-30</x:v>
      </x:c>
      <x:c r="K374" t="n">
        <x:v>0</x:v>
      </x:c>
      <x:c r="L374" t="str">
        <x:v>Complete</x:v>
      </x:c>
      <x:c r="M374" t="str">
        <x:v>Pending</x:v>
      </x:c>
    </x:row>
    <x:row r="375">
      <x:c r="A375" t="str">
        <x:v>PO500373</x:v>
      </x:c>
      <x:c r="B375" t="str">
        <x:v>2026-05-12</x:v>
      </x:c>
      <x:c r="C375" t="str">
        <x:v>V1018</x:v>
      </x:c>
      <x:c r="D375" t="str">
        <x:v>MAT2018</x:v>
      </x:c>
      <x:c r="E375" t="n">
        <x:v>317</x:v>
      </x:c>
      <x:c r="F375" t="n">
        <x:v>317</x:v>
      </x:c>
      <x:c r="G375" s="8" t="n">
        <x:v>739.47</x:v>
      </x:c>
      <x:c r="H375" s="8" t="n">
        <x:v>234411.99</x:v>
      </x:c>
      <x:c r="I375" t="str">
        <x:v>2026-05-19</x:v>
      </x:c>
      <x:c r="J375" t="str">
        <x:v>2026-05-19</x:v>
      </x:c>
      <x:c r="K375" t="n">
        <x:v>0</x:v>
      </x:c>
      <x:c r="L375" t="str">
        <x:v>Complete</x:v>
      </x:c>
      <x:c r="M375" t="str">
        <x:v>Matched</x:v>
      </x:c>
    </x:row>
    <x:row r="376">
      <x:c r="A376" t="str">
        <x:v>PO500374</x:v>
      </x:c>
      <x:c r="B376" t="str">
        <x:v>2026-02-03</x:v>
      </x:c>
      <x:c r="C376" t="str">
        <x:v>V1013</x:v>
      </x:c>
      <x:c r="D376" t="str">
        <x:v>MAT2073</x:v>
      </x:c>
      <x:c r="E376" t="n">
        <x:v>291</x:v>
      </x:c>
      <x:c r="F376" t="n">
        <x:v>291</x:v>
      </x:c>
      <x:c r="G376" s="8" t="n">
        <x:v>343.95</x:v>
      </x:c>
      <x:c r="H376" s="8" t="n">
        <x:v>100089.45</x:v>
      </x:c>
      <x:c r="I376" t="str">
        <x:v>2026-02-07</x:v>
      </x:c>
      <x:c r="J376" t="str">
        <x:v>2026-02-07</x:v>
      </x:c>
      <x:c r="K376" t="n">
        <x:v>0</x:v>
      </x:c>
      <x:c r="L376" t="str">
        <x:v>Complete</x:v>
      </x:c>
      <x:c r="M376" t="str">
        <x:v>Mismatch</x:v>
      </x:c>
    </x:row>
    <x:row r="377">
      <x:c r="A377" t="str">
        <x:v>PO500375</x:v>
      </x:c>
      <x:c r="B377" t="str">
        <x:v>2026-03-10</x:v>
      </x:c>
      <x:c r="C377" t="str">
        <x:v>V1013</x:v>
      </x:c>
      <x:c r="D377" t="str">
        <x:v>MAT2068</x:v>
      </x:c>
      <x:c r="E377" t="n">
        <x:v>117</x:v>
      </x:c>
      <x:c r="F377" t="n">
        <x:v>117</x:v>
      </x:c>
      <x:c r="G377" s="8" t="n">
        <x:v>674.9</x:v>
      </x:c>
      <x:c r="H377" s="8" t="n">
        <x:v>78963.3</x:v>
      </x:c>
      <x:c r="I377" t="str">
        <x:v>2026-03-25</x:v>
      </x:c>
      <x:c r="J377" t="str">
        <x:v>2026-03-26</x:v>
      </x:c>
      <x:c r="K377" t="n">
        <x:v>1</x:v>
      </x:c>
      <x:c r="L377" t="str">
        <x:v>Complete</x:v>
      </x:c>
      <x:c r="M377" t="str">
        <x:v>Matched</x:v>
      </x:c>
    </x:row>
    <x:row r="378">
      <x:c r="A378" t="str">
        <x:v>PO500376</x:v>
      </x:c>
      <x:c r="B378" t="str">
        <x:v>2026-08-04</x:v>
      </x:c>
      <x:c r="C378" t="str">
        <x:v>V1015</x:v>
      </x:c>
      <x:c r="D378" t="str">
        <x:v>MAT2064</x:v>
      </x:c>
      <x:c r="E378" t="n">
        <x:v>163</x:v>
      </x:c>
      <x:c r="F378" t="n">
        <x:v>163</x:v>
      </x:c>
      <x:c r="G378" s="8" t="n">
        <x:v>2018.71</x:v>
      </x:c>
      <x:c r="H378" s="8" t="n">
        <x:v>329049.73</x:v>
      </x:c>
      <x:c r="I378" t="str">
        <x:v>2026-08-16</x:v>
      </x:c>
      <x:c r="J378" t="str">
        <x:v>2026-08-16</x:v>
      </x:c>
      <x:c r="K378" t="n">
        <x:v>0</x:v>
      </x:c>
      <x:c r="L378" t="str">
        <x:v>Complete</x:v>
      </x:c>
      <x:c r="M378" t="str">
        <x:v>Matched</x:v>
      </x:c>
    </x:row>
    <x:row r="379">
      <x:c r="A379" t="str">
        <x:v>PO500377</x:v>
      </x:c>
      <x:c r="B379" t="str">
        <x:v>2026-01-05</x:v>
      </x:c>
      <x:c r="C379" t="str">
        <x:v>V1027</x:v>
      </x:c>
      <x:c r="D379" t="str">
        <x:v>MAT2027</x:v>
      </x:c>
      <x:c r="E379" t="n">
        <x:v>324</x:v>
      </x:c>
      <x:c r="F379" t="n">
        <x:v>324</x:v>
      </x:c>
      <x:c r="G379" s="8" t="n">
        <x:v>1848.09</x:v>
      </x:c>
      <x:c r="H379" s="8" t="n">
        <x:v>598781.16</x:v>
      </x:c>
      <x:c r="I379" t="str">
        <x:v>2026-01-09</x:v>
      </x:c>
      <x:c r="J379" t="str">
        <x:v>2026-01-11</x:v>
      </x:c>
      <x:c r="K379" t="n">
        <x:v>2</x:v>
      </x:c>
      <x:c r="L379" t="str">
        <x:v>Complete</x:v>
      </x:c>
      <x:c r="M379" t="str">
        <x:v>Mismatch</x:v>
      </x:c>
    </x:row>
    <x:row r="380">
      <x:c r="A380" t="str">
        <x:v>PO500378</x:v>
      </x:c>
      <x:c r="B380" t="str">
        <x:v>2026-01-09</x:v>
      </x:c>
      <x:c r="C380" t="str">
        <x:v>V1026</x:v>
      </x:c>
      <x:c r="D380" t="str">
        <x:v>MAT2040</x:v>
      </x:c>
      <x:c r="E380" t="n">
        <x:v>200</x:v>
      </x:c>
      <x:c r="F380" t="n">
        <x:v>200</x:v>
      </x:c>
      <x:c r="G380" s="8" t="n">
        <x:v>2082.27</x:v>
      </x:c>
      <x:c r="H380" s="8" t="n">
        <x:v>416454</x:v>
      </x:c>
      <x:c r="I380" t="str">
        <x:v>2026-01-22</x:v>
      </x:c>
      <x:c r="J380" t="str">
        <x:v>2026-01-22</x:v>
      </x:c>
      <x:c r="K380" t="n">
        <x:v>0</x:v>
      </x:c>
      <x:c r="L380" t="str">
        <x:v>Complete</x:v>
      </x:c>
      <x:c r="M380" t="str">
        <x:v>Matched</x:v>
      </x:c>
    </x:row>
    <x:row r="381">
      <x:c r="A381" t="str">
        <x:v>PO500379</x:v>
      </x:c>
      <x:c r="B381" t="str">
        <x:v>2026-04-14</x:v>
      </x:c>
      <x:c r="C381" t="str">
        <x:v>V1011</x:v>
      </x:c>
      <x:c r="D381" t="str">
        <x:v>MAT2010</x:v>
      </x:c>
      <x:c r="E381" t="n">
        <x:v>314</x:v>
      </x:c>
      <x:c r="F381" t="n">
        <x:v>314</x:v>
      </x:c>
      <x:c r="G381" s="8" t="n">
        <x:v>1864.44</x:v>
      </x:c>
      <x:c r="H381" s="8" t="n">
        <x:v>585434.16</x:v>
      </x:c>
      <x:c r="I381" t="str">
        <x:v>2026-04-22</x:v>
      </x:c>
      <x:c r="J381" t="str">
        <x:v>2026-04-22</x:v>
      </x:c>
      <x:c r="K381" t="n">
        <x:v>0</x:v>
      </x:c>
      <x:c r="L381" t="str">
        <x:v>Complete</x:v>
      </x:c>
      <x:c r="M381" t="str">
        <x:v>Matched</x:v>
      </x:c>
    </x:row>
    <x:row r="382">
      <x:c r="A382" t="str">
        <x:v>PO500380</x:v>
      </x:c>
      <x:c r="B382" t="str">
        <x:v>2026-01-03</x:v>
      </x:c>
      <x:c r="C382" t="str">
        <x:v>V1000</x:v>
      </x:c>
      <x:c r="D382" t="str">
        <x:v>MAT2045</x:v>
      </x:c>
      <x:c r="E382" t="n">
        <x:v>444</x:v>
      </x:c>
      <x:c r="F382" t="n">
        <x:v>444</x:v>
      </x:c>
      <x:c r="G382" s="8" t="n">
        <x:v>1199.95</x:v>
      </x:c>
      <x:c r="H382" s="8" t="n">
        <x:v>532777.8</x:v>
      </x:c>
      <x:c r="I382" t="str">
        <x:v>2026-01-20</x:v>
      </x:c>
      <x:c r="J382" t="str">
        <x:v>2026-01-21</x:v>
      </x:c>
      <x:c r="K382" t="n">
        <x:v>1</x:v>
      </x:c>
      <x:c r="L382" t="str">
        <x:v>Complete</x:v>
      </x:c>
      <x:c r="M382" t="str">
        <x:v>Matched</x:v>
      </x:c>
    </x:row>
    <x:row r="383">
      <x:c r="A383" t="str">
        <x:v>PO500381</x:v>
      </x:c>
      <x:c r="B383" t="str">
        <x:v>2026-03-10</x:v>
      </x:c>
      <x:c r="C383" t="str">
        <x:v>V1030</x:v>
      </x:c>
      <x:c r="D383" t="str">
        <x:v>MAT2017</x:v>
      </x:c>
      <x:c r="E383" t="n">
        <x:v>323</x:v>
      </x:c>
      <x:c r="F383" t="n">
        <x:v>323</x:v>
      </x:c>
      <x:c r="G383" s="8" t="n">
        <x:v>1798.28</x:v>
      </x:c>
      <x:c r="H383" s="8" t="n">
        <x:v>580844.44</x:v>
      </x:c>
      <x:c r="I383" t="str">
        <x:v>2026-03-18</x:v>
      </x:c>
      <x:c r="J383" t="str">
        <x:v>2026-03-18</x:v>
      </x:c>
      <x:c r="K383" t="n">
        <x:v>0</x:v>
      </x:c>
      <x:c r="L383" t="str">
        <x:v>Complete</x:v>
      </x:c>
      <x:c r="M383" t="str">
        <x:v>Pending</x:v>
      </x:c>
    </x:row>
    <x:row r="384">
      <x:c r="A384" t="str">
        <x:v>PO500382</x:v>
      </x:c>
      <x:c r="B384" t="str">
        <x:v>2026-04-26</x:v>
      </x:c>
      <x:c r="C384" t="str">
        <x:v>V1015</x:v>
      </x:c>
      <x:c r="D384" t="str">
        <x:v>MAT2003</x:v>
      </x:c>
      <x:c r="E384" t="n">
        <x:v>105</x:v>
      </x:c>
      <x:c r="F384" t="n">
        <x:v>105</x:v>
      </x:c>
      <x:c r="G384" s="8" t="n">
        <x:v>1381.77</x:v>
      </x:c>
      <x:c r="H384" s="8" t="n">
        <x:v>145085.85</x:v>
      </x:c>
      <x:c r="I384" t="str">
        <x:v>2026-04-30</x:v>
      </x:c>
      <x:c r="J384" t="str">
        <x:v>2026-04-30</x:v>
      </x:c>
      <x:c r="K384" t="n">
        <x:v>0</x:v>
      </x:c>
      <x:c r="L384" t="str">
        <x:v>Complete</x:v>
      </x:c>
      <x:c r="M384" t="str">
        <x:v>Mismatch</x:v>
      </x:c>
    </x:row>
    <x:row r="385">
      <x:c r="A385" t="str">
        <x:v>PO500383</x:v>
      </x:c>
      <x:c r="B385" t="str">
        <x:v>2026-02-28</x:v>
      </x:c>
      <x:c r="C385" t="str">
        <x:v>V1019</x:v>
      </x:c>
      <x:c r="D385" t="str">
        <x:v>MAT2073</x:v>
      </x:c>
      <x:c r="E385" t="n">
        <x:v>34</x:v>
      </x:c>
      <x:c r="F385" t="n">
        <x:v>32</x:v>
      </x:c>
      <x:c r="G385" s="8" t="n">
        <x:v>2108.2</x:v>
      </x:c>
      <x:c r="H385" s="8" t="n">
        <x:v>71678.8</x:v>
      </x:c>
      <x:c r="I385" t="str">
        <x:v>2026-03-09</x:v>
      </x:c>
      <x:c r="J385" t="str">
        <x:v>2026-03-09</x:v>
      </x:c>
      <x:c r="K385" t="n">
        <x:v>0</x:v>
      </x:c>
      <x:c r="L385" t="str">
        <x:v>Partial</x:v>
      </x:c>
      <x:c r="M385" t="str">
        <x:v>Matched</x:v>
      </x:c>
    </x:row>
    <x:row r="386">
      <x:c r="A386" t="str">
        <x:v>PO500384</x:v>
      </x:c>
      <x:c r="B386" t="str">
        <x:v>2026-02-16</x:v>
      </x:c>
      <x:c r="C386" t="str">
        <x:v>V1005</x:v>
      </x:c>
      <x:c r="D386" t="str">
        <x:v>MAT2037</x:v>
      </x:c>
      <x:c r="E386" t="n">
        <x:v>457</x:v>
      </x:c>
      <x:c r="F386" t="n">
        <x:v>457</x:v>
      </x:c>
      <x:c r="G386" s="8" t="n">
        <x:v>2346.38</x:v>
      </x:c>
      <x:c r="H386" s="8" t="n">
        <x:v>1072295.66</x:v>
      </x:c>
      <x:c r="I386" t="str">
        <x:v>2026-02-19</x:v>
      </x:c>
      <x:c r="J386" t="str">
        <x:v>2026-03-03</x:v>
      </x:c>
      <x:c r="K386" t="n">
        <x:v>12</x:v>
      </x:c>
      <x:c r="L386" t="str">
        <x:v>Complete</x:v>
      </x:c>
      <x:c r="M386" t="str">
        <x:v>Pending</x:v>
      </x:c>
    </x:row>
    <x:row r="387">
      <x:c r="A387" t="str">
        <x:v>PO500385</x:v>
      </x:c>
      <x:c r="B387" t="str">
        <x:v>2026-02-23</x:v>
      </x:c>
      <x:c r="C387" t="str">
        <x:v>V1017</x:v>
      </x:c>
      <x:c r="D387" t="str">
        <x:v>MAT2049</x:v>
      </x:c>
      <x:c r="E387" t="n">
        <x:v>36</x:v>
      </x:c>
      <x:c r="F387" t="n">
        <x:v>34</x:v>
      </x:c>
      <x:c r="G387" s="8" t="n">
        <x:v>1149.18</x:v>
      </x:c>
      <x:c r="H387" s="8" t="n">
        <x:v>41370.48</x:v>
      </x:c>
      <x:c r="I387" t="str">
        <x:v>2026-03-15</x:v>
      </x:c>
      <x:c r="J387" t="str">
        <x:v>2026-03-15</x:v>
      </x:c>
      <x:c r="K387" t="n">
        <x:v>0</x:v>
      </x:c>
      <x:c r="L387" t="str">
        <x:v>Partial</x:v>
      </x:c>
      <x:c r="M387" t="str">
        <x:v>Matched</x:v>
      </x:c>
    </x:row>
    <x:row r="388">
      <x:c r="A388" t="str">
        <x:v>PO500386</x:v>
      </x:c>
      <x:c r="B388" t="str">
        <x:v>2026-04-27</x:v>
      </x:c>
      <x:c r="C388" t="str">
        <x:v>V1007</x:v>
      </x:c>
      <x:c r="D388" t="str">
        <x:v>MAT2079</x:v>
      </x:c>
      <x:c r="E388" t="n">
        <x:v>343</x:v>
      </x:c>
      <x:c r="F388" t="n">
        <x:v>343</x:v>
      </x:c>
      <x:c r="G388" s="8" t="n">
        <x:v>2432.49</x:v>
      </x:c>
      <x:c r="H388" s="8" t="n">
        <x:v>834344.07</x:v>
      </x:c>
      <x:c r="I388" t="str">
        <x:v>2026-05-10</x:v>
      </x:c>
      <x:c r="J388" t="str">
        <x:v>2026-05-10</x:v>
      </x:c>
      <x:c r="K388" t="n">
        <x:v>0</x:v>
      </x:c>
      <x:c r="L388" t="str">
        <x:v>Complete</x:v>
      </x:c>
      <x:c r="M388" t="str">
        <x:v>Pending</x:v>
      </x:c>
    </x:row>
    <x:row r="389">
      <x:c r="A389" t="str">
        <x:v>PO500387</x:v>
      </x:c>
      <x:c r="B389" t="str">
        <x:v>2026-04-28</x:v>
      </x:c>
      <x:c r="C389" t="str">
        <x:v>V1022</x:v>
      </x:c>
      <x:c r="D389" t="str">
        <x:v>MAT2061</x:v>
      </x:c>
      <x:c r="E389" t="n">
        <x:v>102</x:v>
      </x:c>
      <x:c r="F389" t="n">
        <x:v>102</x:v>
      </x:c>
      <x:c r="G389" s="8" t="n">
        <x:v>404.16</x:v>
      </x:c>
      <x:c r="H389" s="8" t="n">
        <x:v>41224.32</x:v>
      </x:c>
      <x:c r="I389" t="str">
        <x:v>2026-05-04</x:v>
      </x:c>
      <x:c r="J389" t="str">
        <x:v>2026-05-04</x:v>
      </x:c>
      <x:c r="K389" t="n">
        <x:v>0</x:v>
      </x:c>
      <x:c r="L389" t="str">
        <x:v>Complete</x:v>
      </x:c>
      <x:c r="M389" t="str">
        <x:v>Matched</x:v>
      </x:c>
    </x:row>
    <x:row r="390">
      <x:c r="A390" t="str">
        <x:v>PO500388</x:v>
      </x:c>
      <x:c r="B390" t="str">
        <x:v>2026-05-30</x:v>
      </x:c>
      <x:c r="C390" t="str">
        <x:v>V1029</x:v>
      </x:c>
      <x:c r="D390" t="str">
        <x:v>MAT2061</x:v>
      </x:c>
      <x:c r="E390" t="n">
        <x:v>105</x:v>
      </x:c>
      <x:c r="F390" t="n">
        <x:v>105</x:v>
      </x:c>
      <x:c r="G390" s="8" t="n">
        <x:v>1309.5</x:v>
      </x:c>
      <x:c r="H390" s="8" t="n">
        <x:v>137497.5</x:v>
      </x:c>
      <x:c r="I390" t="str">
        <x:v>2026-06-18</x:v>
      </x:c>
      <x:c r="J390" t="str">
        <x:v>2026-06-18</x:v>
      </x:c>
      <x:c r="K390" t="n">
        <x:v>0</x:v>
      </x:c>
      <x:c r="L390" t="str">
        <x:v>Complete</x:v>
      </x:c>
      <x:c r="M390" t="str">
        <x:v>Mismatch</x:v>
      </x:c>
    </x:row>
    <x:row r="391">
      <x:c r="A391" t="str">
        <x:v>PO500389</x:v>
      </x:c>
      <x:c r="B391" t="str">
        <x:v>2026-06-11</x:v>
      </x:c>
      <x:c r="C391" t="str">
        <x:v>V1019</x:v>
      </x:c>
      <x:c r="D391" t="str">
        <x:v>MAT2070</x:v>
      </x:c>
      <x:c r="E391" t="n">
        <x:v>478</x:v>
      </x:c>
      <x:c r="F391" t="n">
        <x:v>478</x:v>
      </x:c>
      <x:c r="G391" s="8" t="n">
        <x:v>1756.36</x:v>
      </x:c>
      <x:c r="H391" s="8" t="n">
        <x:v>839540.08</x:v>
      </x:c>
      <x:c r="I391" t="str">
        <x:v>2026-06-28</x:v>
      </x:c>
      <x:c r="J391" t="str">
        <x:v>2026-07-03</x:v>
      </x:c>
      <x:c r="K391" t="n">
        <x:v>5</x:v>
      </x:c>
      <x:c r="L391" t="str">
        <x:v>Complete</x:v>
      </x:c>
      <x:c r="M391" t="str">
        <x:v>Matched</x:v>
      </x:c>
    </x:row>
    <x:row r="392">
      <x:c r="A392" t="str">
        <x:v>PO500390</x:v>
      </x:c>
      <x:c r="B392" t="str">
        <x:v>2026-01-27</x:v>
      </x:c>
      <x:c r="C392" t="str">
        <x:v>V1000</x:v>
      </x:c>
      <x:c r="D392" t="str">
        <x:v>MAT2022</x:v>
      </x:c>
      <x:c r="E392" t="n">
        <x:v>73</x:v>
      </x:c>
      <x:c r="F392" t="n">
        <x:v>73</x:v>
      </x:c>
      <x:c r="G392" s="8" t="n">
        <x:v>628.5</x:v>
      </x:c>
      <x:c r="H392" s="8" t="n">
        <x:v>45880.5</x:v>
      </x:c>
      <x:c r="I392" t="str">
        <x:v>2026-02-16</x:v>
      </x:c>
      <x:c r="J392" t="str">
        <x:v>2026-02-16</x:v>
      </x:c>
      <x:c r="K392" t="n">
        <x:v>0</x:v>
      </x:c>
      <x:c r="L392" t="str">
        <x:v>Complete</x:v>
      </x:c>
      <x:c r="M392" t="str">
        <x:v>Matched</x:v>
      </x:c>
    </x:row>
    <x:row r="393">
      <x:c r="A393" t="str">
        <x:v>PO500391</x:v>
      </x:c>
      <x:c r="B393" t="str">
        <x:v>2026-04-05</x:v>
      </x:c>
      <x:c r="C393" t="str">
        <x:v>V1009</x:v>
      </x:c>
      <x:c r="D393" t="str">
        <x:v>MAT2073</x:v>
      </x:c>
      <x:c r="E393" t="n">
        <x:v>186</x:v>
      </x:c>
      <x:c r="F393" t="n">
        <x:v>186</x:v>
      </x:c>
      <x:c r="G393" s="8" t="n">
        <x:v>1056.58</x:v>
      </x:c>
      <x:c r="H393" s="8" t="n">
        <x:v>196523.88</x:v>
      </x:c>
      <x:c r="I393" t="str">
        <x:v>2026-04-11</x:v>
      </x:c>
      <x:c r="J393" t="str">
        <x:v>2026-04-11</x:v>
      </x:c>
      <x:c r="K393" t="n">
        <x:v>0</x:v>
      </x:c>
      <x:c r="L393" t="str">
        <x:v>Complete</x:v>
      </x:c>
      <x:c r="M393" t="str">
        <x:v>Matched</x:v>
      </x:c>
    </x:row>
    <x:row r="394">
      <x:c r="A394" t="str">
        <x:v>PO500392</x:v>
      </x:c>
      <x:c r="B394" t="str">
        <x:v>2026-03-27</x:v>
      </x:c>
      <x:c r="C394" t="str">
        <x:v>V1031</x:v>
      </x:c>
      <x:c r="D394" t="str">
        <x:v>MAT2030</x:v>
      </x:c>
      <x:c r="E394" t="n">
        <x:v>102</x:v>
      </x:c>
      <x:c r="F394" t="n">
        <x:v>102</x:v>
      </x:c>
      <x:c r="G394" s="8" t="n">
        <x:v>1949.19</x:v>
      </x:c>
      <x:c r="H394" s="8" t="n">
        <x:v>198817.38</x:v>
      </x:c>
      <x:c r="I394" t="str">
        <x:v>2026-03-30</x:v>
      </x:c>
      <x:c r="J394" t="str">
        <x:v>2026-03-31</x:v>
      </x:c>
      <x:c r="K394" t="n">
        <x:v>1</x:v>
      </x:c>
      <x:c r="L394" t="str">
        <x:v>Complete</x:v>
      </x:c>
      <x:c r="M394" t="str">
        <x:v>Matched</x:v>
      </x:c>
    </x:row>
    <x:row r="395">
      <x:c r="A395" t="str">
        <x:v>PO500393</x:v>
      </x:c>
      <x:c r="B395" t="str">
        <x:v>2026-04-15</x:v>
      </x:c>
      <x:c r="C395" t="str">
        <x:v>V1034</x:v>
      </x:c>
      <x:c r="D395" t="str">
        <x:v>MAT2060</x:v>
      </x:c>
      <x:c r="E395" t="n">
        <x:v>236</x:v>
      </x:c>
      <x:c r="F395" t="n">
        <x:v>236</x:v>
      </x:c>
      <x:c r="G395" s="8" t="n">
        <x:v>1369.91</x:v>
      </x:c>
      <x:c r="H395" s="8" t="n">
        <x:v>323298.76</x:v>
      </x:c>
      <x:c r="I395" t="str">
        <x:v>2026-04-29</x:v>
      </x:c>
      <x:c r="J395" t="str">
        <x:v>2026-04-29</x:v>
      </x:c>
      <x:c r="K395" t="n">
        <x:v>0</x:v>
      </x:c>
      <x:c r="L395" t="str">
        <x:v>Complete</x:v>
      </x:c>
      <x:c r="M395" t="str">
        <x:v>Matched</x:v>
      </x:c>
    </x:row>
    <x:row r="396">
      <x:c r="A396" t="str">
        <x:v>PO500394</x:v>
      </x:c>
      <x:c r="B396" t="str">
        <x:v>2026-03-24</x:v>
      </x:c>
      <x:c r="C396" t="str">
        <x:v>V1033</x:v>
      </x:c>
      <x:c r="D396" t="str">
        <x:v>MAT2072</x:v>
      </x:c>
      <x:c r="E396" t="n">
        <x:v>24</x:v>
      </x:c>
      <x:c r="F396" t="n">
        <x:v>24</x:v>
      </x:c>
      <x:c r="G396" s="8" t="n">
        <x:v>395.63</x:v>
      </x:c>
      <x:c r="H396" s="8" t="n">
        <x:v>9495.12</x:v>
      </x:c>
      <x:c r="I396" t="str">
        <x:v>2026-03-28</x:v>
      </x:c>
      <x:c r="J396" t="str">
        <x:v>2026-03-28</x:v>
      </x:c>
      <x:c r="K396" t="n">
        <x:v>0</x:v>
      </x:c>
      <x:c r="L396" t="str">
        <x:v>Complete</x:v>
      </x:c>
      <x:c r="M396" t="str">
        <x:v>Matched</x:v>
      </x:c>
    </x:row>
    <x:row r="397">
      <x:c r="A397" t="str">
        <x:v>PO500395</x:v>
      </x:c>
      <x:c r="B397" t="str">
        <x:v>2026-05-14</x:v>
      </x:c>
      <x:c r="C397" t="str">
        <x:v>V1034</x:v>
      </x:c>
      <x:c r="D397" t="str">
        <x:v>MAT2006</x:v>
      </x:c>
      <x:c r="E397" t="n">
        <x:v>293</x:v>
      </x:c>
      <x:c r="F397" t="n">
        <x:v>293</x:v>
      </x:c>
      <x:c r="G397" s="8" t="n">
        <x:v>1703.94</x:v>
      </x:c>
      <x:c r="H397" s="8" t="n">
        <x:v>499254.42</x:v>
      </x:c>
      <x:c r="I397" t="str">
        <x:v>2026-05-27</x:v>
      </x:c>
      <x:c r="J397" t="str">
        <x:v>2026-05-27</x:v>
      </x:c>
      <x:c r="K397" t="n">
        <x:v>0</x:v>
      </x:c>
      <x:c r="L397" t="str">
        <x:v>Complete</x:v>
      </x:c>
      <x:c r="M397" t="str">
        <x:v>Matched</x:v>
      </x:c>
    </x:row>
    <x:row r="398">
      <x:c r="A398" t="str">
        <x:v>PO500396</x:v>
      </x:c>
      <x:c r="B398" t="str">
        <x:v>2026-08-13</x:v>
      </x:c>
      <x:c r="C398" t="str">
        <x:v>V1010</x:v>
      </x:c>
      <x:c r="D398" t="str">
        <x:v>MAT2023</x:v>
      </x:c>
      <x:c r="E398" t="n">
        <x:v>30</x:v>
      </x:c>
      <x:c r="F398" t="n">
        <x:v>30</x:v>
      </x:c>
      <x:c r="G398" s="8" t="n">
        <x:v>873.76</x:v>
      </x:c>
      <x:c r="H398" s="8" t="n">
        <x:v>26212.8</x:v>
      </x:c>
      <x:c r="I398" t="str">
        <x:v>2026-08-21</x:v>
      </x:c>
      <x:c r="J398" t="str">
        <x:v>2026-08-21</x:v>
      </x:c>
      <x:c r="K398" t="n">
        <x:v>0</x:v>
      </x:c>
      <x:c r="L398" t="str">
        <x:v>Complete</x:v>
      </x:c>
      <x:c r="M398" t="str">
        <x:v>Matched</x:v>
      </x:c>
    </x:row>
    <x:row r="399">
      <x:c r="A399" t="str">
        <x:v>PO500397</x:v>
      </x:c>
      <x:c r="B399" t="str">
        <x:v>2026-02-25</x:v>
      </x:c>
      <x:c r="C399" t="str">
        <x:v>V1011</x:v>
      </x:c>
      <x:c r="D399" t="str">
        <x:v>MAT2073</x:v>
      </x:c>
      <x:c r="E399" t="n">
        <x:v>112</x:v>
      </x:c>
      <x:c r="F399" t="n">
        <x:v>112</x:v>
      </x:c>
      <x:c r="G399" s="8" t="n">
        <x:v>345.89</x:v>
      </x:c>
      <x:c r="H399" s="8" t="n">
        <x:v>38739.68</x:v>
      </x:c>
      <x:c r="I399" t="str">
        <x:v>2026-03-10</x:v>
      </x:c>
      <x:c r="J399" t="str">
        <x:v>2026-03-10</x:v>
      </x:c>
      <x:c r="K399" t="n">
        <x:v>0</x:v>
      </x:c>
      <x:c r="L399" t="str">
        <x:v>Complete</x:v>
      </x:c>
      <x:c r="M399" t="str">
        <x:v>Matched</x:v>
      </x:c>
    </x:row>
    <x:row r="400">
      <x:c r="A400" t="str">
        <x:v>PO500398</x:v>
      </x:c>
      <x:c r="B400" t="str">
        <x:v>2026-08-01</x:v>
      </x:c>
      <x:c r="C400" t="str">
        <x:v>V1027</x:v>
      </x:c>
      <x:c r="D400" t="str">
        <x:v>MAT2045</x:v>
      </x:c>
      <x:c r="E400" t="n">
        <x:v>452</x:v>
      </x:c>
      <x:c r="F400" t="n">
        <x:v>436</x:v>
      </x:c>
      <x:c r="G400" s="8" t="n">
        <x:v>707.9</x:v>
      </x:c>
      <x:c r="H400" s="8" t="n">
        <x:v>319970.8</x:v>
      </x:c>
      <x:c r="I400" t="str">
        <x:v>2026-08-13</x:v>
      </x:c>
      <x:c r="J400" t="str">
        <x:v>2026-08-13</x:v>
      </x:c>
      <x:c r="K400" t="n">
        <x:v>0</x:v>
      </x:c>
      <x:c r="L400" t="str">
        <x:v>Partial</x:v>
      </x:c>
      <x:c r="M400" t="str">
        <x:v>Matched</x:v>
      </x:c>
    </x:row>
    <x:row r="401">
      <x:c r="A401" t="str">
        <x:v>PO500399</x:v>
      </x:c>
      <x:c r="B401" t="str">
        <x:v>2026-02-19</x:v>
      </x:c>
      <x:c r="C401" t="str">
        <x:v>V1014</x:v>
      </x:c>
      <x:c r="D401" t="str">
        <x:v>MAT2069</x:v>
      </x:c>
      <x:c r="E401" t="n">
        <x:v>206</x:v>
      </x:c>
      <x:c r="F401" t="n">
        <x:v>204</x:v>
      </x:c>
      <x:c r="G401" s="8" t="n">
        <x:v>381.02</x:v>
      </x:c>
      <x:c r="H401" s="8" t="n">
        <x:v>78490.12</x:v>
      </x:c>
      <x:c r="I401" t="str">
        <x:v>2026-03-11</x:v>
      </x:c>
      <x:c r="J401" t="str">
        <x:v>2026-03-11</x:v>
      </x:c>
      <x:c r="K401" t="n">
        <x:v>0</x:v>
      </x:c>
      <x:c r="L401" t="str">
        <x:v>Partial</x:v>
      </x:c>
      <x:c r="M401" t="str">
        <x:v>Mismatch</x:v>
      </x:c>
    </x:row>
    <x:row r="402">
      <x:c r="A402" t="str">
        <x:v>PO500400</x:v>
      </x:c>
      <x:c r="B402" t="str">
        <x:v>2026-08-15</x:v>
      </x:c>
      <x:c r="C402" t="str">
        <x:v>V1004</x:v>
      </x:c>
      <x:c r="D402" t="str">
        <x:v>MAT2065</x:v>
      </x:c>
      <x:c r="E402" t="n">
        <x:v>112</x:v>
      </x:c>
      <x:c r="F402" t="n">
        <x:v>112</x:v>
      </x:c>
      <x:c r="G402" s="8" t="n">
        <x:v>591.9</x:v>
      </x:c>
      <x:c r="H402" s="8" t="n">
        <x:v>66292.8</x:v>
      </x:c>
      <x:c r="I402" t="str">
        <x:v>2026-08-24</x:v>
      </x:c>
      <x:c r="J402" t="str">
        <x:v>2026-09-05</x:v>
      </x:c>
      <x:c r="K402" t="n">
        <x:v>12</x:v>
      </x:c>
      <x:c r="L402" t="str">
        <x:v>Complete</x:v>
      </x:c>
      <x:c r="M402" t="str">
        <x:v>Matched</x:v>
      </x:c>
    </x:row>
    <x:row r="403">
      <x:c r="A403" t="str">
        <x:v>PO500401</x:v>
      </x:c>
      <x:c r="B403" t="str">
        <x:v>2026-04-25</x:v>
      </x:c>
      <x:c r="C403" t="str">
        <x:v>V1025</x:v>
      </x:c>
      <x:c r="D403" t="str">
        <x:v>MAT2036</x:v>
      </x:c>
      <x:c r="E403" t="n">
        <x:v>19</x:v>
      </x:c>
      <x:c r="F403" t="n">
        <x:v>18</x:v>
      </x:c>
      <x:c r="G403" s="8" t="n">
        <x:v>2122.98</x:v>
      </x:c>
      <x:c r="H403" s="8" t="n">
        <x:v>40336.62</x:v>
      </x:c>
      <x:c r="I403" t="str">
        <x:v>2026-05-11</x:v>
      </x:c>
      <x:c r="J403" t="str">
        <x:v>2026-05-11</x:v>
      </x:c>
      <x:c r="K403" t="n">
        <x:v>0</x:v>
      </x:c>
      <x:c r="L403" t="str">
        <x:v>Partial</x:v>
      </x:c>
      <x:c r="M403" t="str">
        <x:v>Pending</x:v>
      </x:c>
    </x:row>
    <x:row r="404">
      <x:c r="A404" t="str">
        <x:v>PO500402</x:v>
      </x:c>
      <x:c r="B404" t="str">
        <x:v>2026-08-16</x:v>
      </x:c>
      <x:c r="C404" t="str">
        <x:v>V1034</x:v>
      </x:c>
      <x:c r="D404" t="str">
        <x:v>MAT2009</x:v>
      </x:c>
      <x:c r="E404" t="n">
        <x:v>418</x:v>
      </x:c>
      <x:c r="F404" t="n">
        <x:v>418</x:v>
      </x:c>
      <x:c r="G404" s="8" t="n">
        <x:v>128.27</x:v>
      </x:c>
      <x:c r="H404" s="8" t="n">
        <x:v>53616.86</x:v>
      </x:c>
      <x:c r="I404" t="str">
        <x:v>2026-08-30</x:v>
      </x:c>
      <x:c r="J404" t="str">
        <x:v>2026-08-30</x:v>
      </x:c>
      <x:c r="K404" t="n">
        <x:v>0</x:v>
      </x:c>
      <x:c r="L404" t="str">
        <x:v>Complete</x:v>
      </x:c>
      <x:c r="M404" t="str">
        <x:v>Pending</x:v>
      </x:c>
    </x:row>
    <x:row r="405">
      <x:c r="A405" t="str">
        <x:v>PO500403</x:v>
      </x:c>
      <x:c r="B405" t="str">
        <x:v>2026-05-05</x:v>
      </x:c>
      <x:c r="C405" t="str">
        <x:v>V1031</x:v>
      </x:c>
      <x:c r="D405" t="str">
        <x:v>MAT2051</x:v>
      </x:c>
      <x:c r="E405" t="n">
        <x:v>359</x:v>
      </x:c>
      <x:c r="F405" t="n">
        <x:v>359</x:v>
      </x:c>
      <x:c r="G405" s="8" t="n">
        <x:v>845.59</x:v>
      </x:c>
      <x:c r="H405" s="8" t="n">
        <x:v>303566.81</x:v>
      </x:c>
      <x:c r="I405" t="str">
        <x:v>2026-05-19</x:v>
      </x:c>
      <x:c r="J405" t="str">
        <x:v>2026-05-19</x:v>
      </x:c>
      <x:c r="K405" t="n">
        <x:v>0</x:v>
      </x:c>
      <x:c r="L405" t="str">
        <x:v>Complete</x:v>
      </x:c>
      <x:c r="M405" t="str">
        <x:v>Matched</x:v>
      </x:c>
    </x:row>
    <x:row r="406">
      <x:c r="A406" t="str">
        <x:v>PO500404</x:v>
      </x:c>
      <x:c r="B406" t="str">
        <x:v>2026-04-04</x:v>
      </x:c>
      <x:c r="C406" t="str">
        <x:v>V1008</x:v>
      </x:c>
      <x:c r="D406" t="str">
        <x:v>MAT2005</x:v>
      </x:c>
      <x:c r="E406" t="n">
        <x:v>264</x:v>
      </x:c>
      <x:c r="F406" t="n">
        <x:v>264</x:v>
      </x:c>
      <x:c r="G406" s="8" t="n">
        <x:v>183.75</x:v>
      </x:c>
      <x:c r="H406" s="8" t="n">
        <x:v>48510</x:v>
      </x:c>
      <x:c r="I406" t="str">
        <x:v>2026-04-19</x:v>
      </x:c>
      <x:c r="J406" t="str">
        <x:v>2026-04-24</x:v>
      </x:c>
      <x:c r="K406" t="n">
        <x:v>5</x:v>
      </x:c>
      <x:c r="L406" t="str">
        <x:v>Complete</x:v>
      </x:c>
      <x:c r="M406" t="str">
        <x:v>Matched</x:v>
      </x:c>
    </x:row>
    <x:row r="407">
      <x:c r="A407" t="str">
        <x:v>PO500405</x:v>
      </x:c>
      <x:c r="B407" t="str">
        <x:v>2026-06-04</x:v>
      </x:c>
      <x:c r="C407" t="str">
        <x:v>V1030</x:v>
      </x:c>
      <x:c r="D407" t="str">
        <x:v>MAT2050</x:v>
      </x:c>
      <x:c r="E407" t="n">
        <x:v>115</x:v>
      </x:c>
      <x:c r="F407" t="n">
        <x:v>112</x:v>
      </x:c>
      <x:c r="G407" s="8" t="n">
        <x:v>742.92</x:v>
      </x:c>
      <x:c r="H407" s="8" t="n">
        <x:v>85435.8</x:v>
      </x:c>
      <x:c r="I407" t="str">
        <x:v>2026-06-21</x:v>
      </x:c>
      <x:c r="J407" t="str">
        <x:v>2026-06-21</x:v>
      </x:c>
      <x:c r="K407" t="n">
        <x:v>0</x:v>
      </x:c>
      <x:c r="L407" t="str">
        <x:v>Partial</x:v>
      </x:c>
      <x:c r="M407" t="str">
        <x:v>Matched</x:v>
      </x:c>
    </x:row>
    <x:row r="408">
      <x:c r="A408" t="str">
        <x:v>PO500406</x:v>
      </x:c>
      <x:c r="B408" t="str">
        <x:v>2026-07-03</x:v>
      </x:c>
      <x:c r="C408" t="str">
        <x:v>V1021</x:v>
      </x:c>
      <x:c r="D408" t="str">
        <x:v>MAT2072</x:v>
      </x:c>
      <x:c r="E408" t="n">
        <x:v>245</x:v>
      </x:c>
      <x:c r="F408" t="n">
        <x:v>238</x:v>
      </x:c>
      <x:c r="G408" s="8" t="n">
        <x:v>714.12</x:v>
      </x:c>
      <x:c r="H408" s="8" t="n">
        <x:v>174959.4</x:v>
      </x:c>
      <x:c r="I408" t="str">
        <x:v>2026-07-08</x:v>
      </x:c>
      <x:c r="J408" t="str">
        <x:v>2026-07-08</x:v>
      </x:c>
      <x:c r="K408" t="n">
        <x:v>0</x:v>
      </x:c>
      <x:c r="L408" t="str">
        <x:v>Partial</x:v>
      </x:c>
      <x:c r="M408" t="str">
        <x:v>Mismatch</x:v>
      </x:c>
    </x:row>
    <x:row r="409">
      <x:c r="A409" t="str">
        <x:v>PO500407</x:v>
      </x:c>
      <x:c r="B409" t="str">
        <x:v>2026-04-24</x:v>
      </x:c>
      <x:c r="C409" t="str">
        <x:v>V1006</x:v>
      </x:c>
      <x:c r="D409" t="str">
        <x:v>MAT2016</x:v>
      </x:c>
      <x:c r="E409" t="n">
        <x:v>425</x:v>
      </x:c>
      <x:c r="F409" t="n">
        <x:v>425</x:v>
      </x:c>
      <x:c r="G409" s="8" t="n">
        <x:v>1465.32</x:v>
      </x:c>
      <x:c r="H409" s="8" t="n">
        <x:v>622761</x:v>
      </x:c>
      <x:c r="I409" t="str">
        <x:v>2026-05-04</x:v>
      </x:c>
      <x:c r="J409" t="str">
        <x:v>2026-05-04</x:v>
      </x:c>
      <x:c r="K409" t="n">
        <x:v>0</x:v>
      </x:c>
      <x:c r="L409" t="str">
        <x:v>Complete</x:v>
      </x:c>
      <x:c r="M409" t="str">
        <x:v>Mismatch</x:v>
      </x:c>
    </x:row>
    <x:row r="410">
      <x:c r="A410" t="str">
        <x:v>PO500408</x:v>
      </x:c>
      <x:c r="B410" t="str">
        <x:v>2026-01-05</x:v>
      </x:c>
      <x:c r="C410" t="str">
        <x:v>V1029</x:v>
      </x:c>
      <x:c r="D410" t="str">
        <x:v>MAT2050</x:v>
      </x:c>
      <x:c r="E410" t="n">
        <x:v>238</x:v>
      </x:c>
      <x:c r="F410" t="n">
        <x:v>238</x:v>
      </x:c>
      <x:c r="G410" s="8" t="n">
        <x:v>1496.43</x:v>
      </x:c>
      <x:c r="H410" s="8" t="n">
        <x:v>356150.34</x:v>
      </x:c>
      <x:c r="I410" t="str">
        <x:v>2026-01-17</x:v>
      </x:c>
      <x:c r="J410" t="str">
        <x:v>2026-01-17</x:v>
      </x:c>
      <x:c r="K410" t="n">
        <x:v>0</x:v>
      </x:c>
      <x:c r="L410" t="str">
        <x:v>Complete</x:v>
      </x:c>
      <x:c r="M410" t="str">
        <x:v>Matched</x:v>
      </x:c>
    </x:row>
    <x:row r="411">
      <x:c r="A411" t="str">
        <x:v>PO500409</x:v>
      </x:c>
      <x:c r="B411" t="str">
        <x:v>2026-01-19</x:v>
      </x:c>
      <x:c r="C411" t="str">
        <x:v>V1001</x:v>
      </x:c>
      <x:c r="D411" t="str">
        <x:v>MAT2063</x:v>
      </x:c>
      <x:c r="E411" t="n">
        <x:v>25</x:v>
      </x:c>
      <x:c r="F411" t="n">
        <x:v>25</x:v>
      </x:c>
      <x:c r="G411" s="8" t="n">
        <x:v>1442.2</x:v>
      </x:c>
      <x:c r="H411" s="8" t="n">
        <x:v>36055</x:v>
      </x:c>
      <x:c r="I411" t="str">
        <x:v>2026-01-30</x:v>
      </x:c>
      <x:c r="J411" t="str">
        <x:v>2026-01-30</x:v>
      </x:c>
      <x:c r="K411" t="n">
        <x:v>0</x:v>
      </x:c>
      <x:c r="L411" t="str">
        <x:v>Complete</x:v>
      </x:c>
      <x:c r="M411" t="str">
        <x:v>Matched</x:v>
      </x:c>
    </x:row>
    <x:row r="412">
      <x:c r="A412" t="str">
        <x:v>PO500410</x:v>
      </x:c>
      <x:c r="B412" t="str">
        <x:v>2026-01-05</x:v>
      </x:c>
      <x:c r="C412" t="str">
        <x:v>V1001</x:v>
      </x:c>
      <x:c r="D412" t="str">
        <x:v>MAT2024</x:v>
      </x:c>
      <x:c r="E412" t="n">
        <x:v>391</x:v>
      </x:c>
      <x:c r="F412" t="n">
        <x:v>391</x:v>
      </x:c>
      <x:c r="G412" s="8" t="n">
        <x:v>2445.9</x:v>
      </x:c>
      <x:c r="H412" s="8" t="n">
        <x:v>956346.9</x:v>
      </x:c>
      <x:c r="I412" t="str">
        <x:v>2026-01-22</x:v>
      </x:c>
      <x:c r="J412" t="str">
        <x:v>2026-01-22</x:v>
      </x:c>
      <x:c r="K412" t="n">
        <x:v>0</x:v>
      </x:c>
      <x:c r="L412" t="str">
        <x:v>Complete</x:v>
      </x:c>
      <x:c r="M412" t="str">
        <x:v>Matched</x:v>
      </x:c>
    </x:row>
    <x:row r="413">
      <x:c r="A413" t="str">
        <x:v>PO500411</x:v>
      </x:c>
      <x:c r="B413" t="str">
        <x:v>2026-04-14</x:v>
      </x:c>
      <x:c r="C413" t="str">
        <x:v>V1019</x:v>
      </x:c>
      <x:c r="D413" t="str">
        <x:v>MAT2001</x:v>
      </x:c>
      <x:c r="E413" t="n">
        <x:v>171</x:v>
      </x:c>
      <x:c r="F413" t="n">
        <x:v>171</x:v>
      </x:c>
      <x:c r="G413" s="8" t="n">
        <x:v>1982.13</x:v>
      </x:c>
      <x:c r="H413" s="8" t="n">
        <x:v>338944.23</x:v>
      </x:c>
      <x:c r="I413" t="str">
        <x:v>2026-04-25</x:v>
      </x:c>
      <x:c r="J413" t="str">
        <x:v>2026-04-28</x:v>
      </x:c>
      <x:c r="K413" t="n">
        <x:v>3</x:v>
      </x:c>
      <x:c r="L413" t="str">
        <x:v>Complete</x:v>
      </x:c>
      <x:c r="M413" t="str">
        <x:v>Pending</x:v>
      </x:c>
    </x:row>
    <x:row r="414">
      <x:c r="A414" t="str">
        <x:v>PO500412</x:v>
      </x:c>
      <x:c r="B414" t="str">
        <x:v>2026-01-18</x:v>
      </x:c>
      <x:c r="C414" t="str">
        <x:v>V1011</x:v>
      </x:c>
      <x:c r="D414" t="str">
        <x:v>MAT2038</x:v>
      </x:c>
      <x:c r="E414" t="n">
        <x:v>438</x:v>
      </x:c>
      <x:c r="F414" t="n">
        <x:v>438</x:v>
      </x:c>
      <x:c r="G414" s="8" t="n">
        <x:v>1121.7</x:v>
      </x:c>
      <x:c r="H414" s="8" t="n">
        <x:v>491304.6</x:v>
      </x:c>
      <x:c r="I414" t="str">
        <x:v>2026-01-30</x:v>
      </x:c>
      <x:c r="J414" t="str">
        <x:v>2026-01-30</x:v>
      </x:c>
      <x:c r="K414" t="n">
        <x:v>0</x:v>
      </x:c>
      <x:c r="L414" t="str">
        <x:v>Complete</x:v>
      </x:c>
      <x:c r="M414" t="str">
        <x:v>Matched</x:v>
      </x:c>
    </x:row>
    <x:row r="415">
      <x:c r="A415" t="str">
        <x:v>PO500413</x:v>
      </x:c>
      <x:c r="B415" t="str">
        <x:v>2026-06-18</x:v>
      </x:c>
      <x:c r="C415" t="str">
        <x:v>V1017</x:v>
      </x:c>
      <x:c r="D415" t="str">
        <x:v>MAT2048</x:v>
      </x:c>
      <x:c r="E415" t="n">
        <x:v>96</x:v>
      </x:c>
      <x:c r="F415" t="n">
        <x:v>96</x:v>
      </x:c>
      <x:c r="G415" s="8" t="n">
        <x:v>2056.16</x:v>
      </x:c>
      <x:c r="H415" s="8" t="n">
        <x:v>197391.36</x:v>
      </x:c>
      <x:c r="I415" t="str">
        <x:v>2026-06-25</x:v>
      </x:c>
      <x:c r="J415" t="str">
        <x:v>2026-06-25</x:v>
      </x:c>
      <x:c r="K415" t="n">
        <x:v>0</x:v>
      </x:c>
      <x:c r="L415" t="str">
        <x:v>Complete</x:v>
      </x:c>
      <x:c r="M415" t="str">
        <x:v>Matched</x:v>
      </x:c>
    </x:row>
    <x:row r="416">
      <x:c r="A416" t="str">
        <x:v>PO500414</x:v>
      </x:c>
      <x:c r="B416" t="str">
        <x:v>2026-04-09</x:v>
      </x:c>
      <x:c r="C416" t="str">
        <x:v>V1004</x:v>
      </x:c>
      <x:c r="D416" t="str">
        <x:v>MAT2074</x:v>
      </x:c>
      <x:c r="E416" t="n">
        <x:v>275</x:v>
      </x:c>
      <x:c r="F416" t="n">
        <x:v>275</x:v>
      </x:c>
      <x:c r="G416" s="8" t="n">
        <x:v>2125.11</x:v>
      </x:c>
      <x:c r="H416" s="8" t="n">
        <x:v>584405.25</x:v>
      </x:c>
      <x:c r="I416" t="str">
        <x:v>2026-04-13</x:v>
      </x:c>
      <x:c r="J416" t="str">
        <x:v>2026-04-16</x:v>
      </x:c>
      <x:c r="K416" t="n">
        <x:v>3</x:v>
      </x:c>
      <x:c r="L416" t="str">
        <x:v>Complete</x:v>
      </x:c>
      <x:c r="M416" t="str">
        <x:v>Matched</x:v>
      </x:c>
    </x:row>
    <x:row r="417">
      <x:c r="A417" t="str">
        <x:v>PO500415</x:v>
      </x:c>
      <x:c r="B417" t="str">
        <x:v>2026-04-11</x:v>
      </x:c>
      <x:c r="C417" t="str">
        <x:v>V1015</x:v>
      </x:c>
      <x:c r="D417" t="str">
        <x:v>MAT2000</x:v>
      </x:c>
      <x:c r="E417" t="n">
        <x:v>121</x:v>
      </x:c>
      <x:c r="F417" t="n">
        <x:v>121</x:v>
      </x:c>
      <x:c r="G417" s="8" t="n">
        <x:v>1502.42</x:v>
      </x:c>
      <x:c r="H417" s="8" t="n">
        <x:v>181792.82</x:v>
      </x:c>
      <x:c r="I417" t="str">
        <x:v>2026-04-28</x:v>
      </x:c>
      <x:c r="J417" t="str">
        <x:v>2026-04-28</x:v>
      </x:c>
      <x:c r="K417" t="n">
        <x:v>0</x:v>
      </x:c>
      <x:c r="L417" t="str">
        <x:v>Complete</x:v>
      </x:c>
      <x:c r="M417" t="str">
        <x:v>Matched</x:v>
      </x:c>
    </x:row>
    <x:row r="418">
      <x:c r="A418" t="str">
        <x:v>PO500416</x:v>
      </x:c>
      <x:c r="B418" t="str">
        <x:v>2026-01-01</x:v>
      </x:c>
      <x:c r="C418" t="str">
        <x:v>V1010</x:v>
      </x:c>
      <x:c r="D418" t="str">
        <x:v>MAT2020</x:v>
      </x:c>
      <x:c r="E418" t="n">
        <x:v>234</x:v>
      </x:c>
      <x:c r="F418" t="n">
        <x:v>232</x:v>
      </x:c>
      <x:c r="G418" s="8" t="n">
        <x:v>1843.65</x:v>
      </x:c>
      <x:c r="H418" s="8" t="n">
        <x:v>431414.1</x:v>
      </x:c>
      <x:c r="I418" t="str">
        <x:v>2026-01-08</x:v>
      </x:c>
      <x:c r="J418" t="str">
        <x:v>2026-01-08</x:v>
      </x:c>
      <x:c r="K418" t="n">
        <x:v>0</x:v>
      </x:c>
      <x:c r="L418" t="str">
        <x:v>Partial</x:v>
      </x:c>
      <x:c r="M418" t="str">
        <x:v>Matched</x:v>
      </x:c>
    </x:row>
    <x:row r="419">
      <x:c r="A419" t="str">
        <x:v>PO500417</x:v>
      </x:c>
      <x:c r="B419" t="str">
        <x:v>2026-07-31</x:v>
      </x:c>
      <x:c r="C419" t="str">
        <x:v>V1022</x:v>
      </x:c>
      <x:c r="D419" t="str">
        <x:v>MAT2030</x:v>
      </x:c>
      <x:c r="E419" t="n">
        <x:v>142</x:v>
      </x:c>
      <x:c r="F419" t="n">
        <x:v>135</x:v>
      </x:c>
      <x:c r="G419" s="8" t="n">
        <x:v>384.16</x:v>
      </x:c>
      <x:c r="H419" s="8" t="n">
        <x:v>54550.72</x:v>
      </x:c>
      <x:c r="I419" t="str">
        <x:v>2026-08-11</x:v>
      </x:c>
      <x:c r="J419" t="str">
        <x:v>2026-08-11</x:v>
      </x:c>
      <x:c r="K419" t="n">
        <x:v>0</x:v>
      </x:c>
      <x:c r="L419" t="str">
        <x:v>Partial</x:v>
      </x:c>
      <x:c r="M419" t="str">
        <x:v>Matched</x:v>
      </x:c>
    </x:row>
    <x:row r="420">
      <x:c r="A420" t="str">
        <x:v>PO500418</x:v>
      </x:c>
      <x:c r="B420" t="str">
        <x:v>2026-02-01</x:v>
      </x:c>
      <x:c r="C420" t="str">
        <x:v>V1026</x:v>
      </x:c>
      <x:c r="D420" t="str">
        <x:v>MAT2036</x:v>
      </x:c>
      <x:c r="E420" t="n">
        <x:v>214</x:v>
      </x:c>
      <x:c r="F420" t="n">
        <x:v>214</x:v>
      </x:c>
      <x:c r="G420" s="8" t="n">
        <x:v>2308.05</x:v>
      </x:c>
      <x:c r="H420" s="8" t="n">
        <x:v>493922.7</x:v>
      </x:c>
      <x:c r="I420" t="str">
        <x:v>2026-02-09</x:v>
      </x:c>
      <x:c r="J420" t="str">
        <x:v>2026-02-10</x:v>
      </x:c>
      <x:c r="K420" t="n">
        <x:v>1</x:v>
      </x:c>
      <x:c r="L420" t="str">
        <x:v>Complete</x:v>
      </x:c>
      <x:c r="M420" t="str">
        <x:v>Matched</x:v>
      </x:c>
    </x:row>
    <x:row r="421">
      <x:c r="A421" t="str">
        <x:v>PO500419</x:v>
      </x:c>
      <x:c r="B421" t="str">
        <x:v>2026-01-12</x:v>
      </x:c>
      <x:c r="C421" t="str">
        <x:v>V1032</x:v>
      </x:c>
      <x:c r="D421" t="str">
        <x:v>MAT2066</x:v>
      </x:c>
      <x:c r="E421" t="n">
        <x:v>421</x:v>
      </x:c>
      <x:c r="F421" t="n">
        <x:v>381</x:v>
      </x:c>
      <x:c r="G421" s="8" t="n">
        <x:v>392.24</x:v>
      </x:c>
      <x:c r="H421" s="8" t="n">
        <x:v>165133.04</x:v>
      </x:c>
      <x:c r="I421" t="str">
        <x:v>2026-01-16</x:v>
      </x:c>
      <x:c r="J421" t="str">
        <x:v>2026-01-16</x:v>
      </x:c>
      <x:c r="K421" t="n">
        <x:v>0</x:v>
      </x:c>
      <x:c r="L421" t="str">
        <x:v>Partial</x:v>
      </x:c>
      <x:c r="M421" t="str">
        <x:v>Matched</x:v>
      </x:c>
    </x:row>
    <x:row r="422">
      <x:c r="A422" t="str">
        <x:v>PO500420</x:v>
      </x:c>
      <x:c r="B422" t="str">
        <x:v>2026-03-17</x:v>
      </x:c>
      <x:c r="C422" t="str">
        <x:v>V1012</x:v>
      </x:c>
      <x:c r="D422" t="str">
        <x:v>MAT2054</x:v>
      </x:c>
      <x:c r="E422" t="n">
        <x:v>164</x:v>
      </x:c>
      <x:c r="F422" t="n">
        <x:v>164</x:v>
      </x:c>
      <x:c r="G422" s="8" t="n">
        <x:v>1561.26</x:v>
      </x:c>
      <x:c r="H422" s="8" t="n">
        <x:v>256046.64</x:v>
      </x:c>
      <x:c r="I422" t="str">
        <x:v>2026-03-23</x:v>
      </x:c>
      <x:c r="J422" t="str">
        <x:v>2026-03-23</x:v>
      </x:c>
      <x:c r="K422" t="n">
        <x:v>0</x:v>
      </x:c>
      <x:c r="L422" t="str">
        <x:v>Complete</x:v>
      </x:c>
      <x:c r="M422" t="str">
        <x:v>Mismatch</x:v>
      </x:c>
    </x:row>
    <x:row r="423">
      <x:c r="A423" t="str">
        <x:v>PO500421</x:v>
      </x:c>
      <x:c r="B423" t="str">
        <x:v>2026-04-02</x:v>
      </x:c>
      <x:c r="C423" t="str">
        <x:v>V1000</x:v>
      </x:c>
      <x:c r="D423" t="str">
        <x:v>MAT2079</x:v>
      </x:c>
      <x:c r="E423" t="n">
        <x:v>121</x:v>
      </x:c>
      <x:c r="F423" t="n">
        <x:v>121</x:v>
      </x:c>
      <x:c r="G423" s="8" t="n">
        <x:v>1442.87</x:v>
      </x:c>
      <x:c r="H423" s="8" t="n">
        <x:v>174587.27</x:v>
      </x:c>
      <x:c r="I423" t="str">
        <x:v>2026-04-12</x:v>
      </x:c>
      <x:c r="J423" t="str">
        <x:v>2026-04-12</x:v>
      </x:c>
      <x:c r="K423" t="n">
        <x:v>0</x:v>
      </x:c>
      <x:c r="L423" t="str">
        <x:v>Complete</x:v>
      </x:c>
      <x:c r="M423" t="str">
        <x:v>Matched</x:v>
      </x:c>
    </x:row>
    <x:row r="424">
      <x:c r="A424" t="str">
        <x:v>PO500422</x:v>
      </x:c>
      <x:c r="B424" t="str">
        <x:v>2026-03-29</x:v>
      </x:c>
      <x:c r="C424" t="str">
        <x:v>V1033</x:v>
      </x:c>
      <x:c r="D424" t="str">
        <x:v>MAT2037</x:v>
      </x:c>
      <x:c r="E424" t="n">
        <x:v>299</x:v>
      </x:c>
      <x:c r="F424" t="n">
        <x:v>299</x:v>
      </x:c>
      <x:c r="G424" s="8" t="n">
        <x:v>1029.15</x:v>
      </x:c>
      <x:c r="H424" s="8" t="n">
        <x:v>307715.85</x:v>
      </x:c>
      <x:c r="I424" t="str">
        <x:v>2026-04-05</x:v>
      </x:c>
      <x:c r="J424" t="str">
        <x:v>2026-04-05</x:v>
      </x:c>
      <x:c r="K424" t="n">
        <x:v>0</x:v>
      </x:c>
      <x:c r="L424" t="str">
        <x:v>Complete</x:v>
      </x:c>
      <x:c r="M424" t="str">
        <x:v>Matched</x:v>
      </x:c>
    </x:row>
    <x:row r="425">
      <x:c r="A425" t="str">
        <x:v>PO500423</x:v>
      </x:c>
      <x:c r="B425" t="str">
        <x:v>2026-02-03</x:v>
      </x:c>
      <x:c r="C425" t="str">
        <x:v>V1008</x:v>
      </x:c>
      <x:c r="D425" t="str">
        <x:v>MAT2058</x:v>
      </x:c>
      <x:c r="E425" t="n">
        <x:v>249</x:v>
      </x:c>
      <x:c r="F425" t="n">
        <x:v>249</x:v>
      </x:c>
      <x:c r="G425" s="8" t="n">
        <x:v>959.47</x:v>
      </x:c>
      <x:c r="H425" s="8" t="n">
        <x:v>238908.03</x:v>
      </x:c>
      <x:c r="I425" t="str">
        <x:v>2026-02-21</x:v>
      </x:c>
      <x:c r="J425" t="str">
        <x:v>2026-02-21</x:v>
      </x:c>
      <x:c r="K425" t="n">
        <x:v>0</x:v>
      </x:c>
      <x:c r="L425" t="str">
        <x:v>Complete</x:v>
      </x:c>
      <x:c r="M425" t="str">
        <x:v>Matched</x:v>
      </x:c>
    </x:row>
    <x:row r="426">
      <x:c r="A426" t="str">
        <x:v>PO500424</x:v>
      </x:c>
      <x:c r="B426" t="str">
        <x:v>2026-05-22</x:v>
      </x:c>
      <x:c r="C426" t="str">
        <x:v>V1001</x:v>
      </x:c>
      <x:c r="D426" t="str">
        <x:v>MAT2054</x:v>
      </x:c>
      <x:c r="E426" t="n">
        <x:v>170</x:v>
      </x:c>
      <x:c r="F426" t="n">
        <x:v>162</x:v>
      </x:c>
      <x:c r="G426" s="8" t="n">
        <x:v>965.19</x:v>
      </x:c>
      <x:c r="H426" s="8" t="n">
        <x:v>164082.3</x:v>
      </x:c>
      <x:c r="I426" t="str">
        <x:v>2026-06-02</x:v>
      </x:c>
      <x:c r="J426" t="str">
        <x:v>2026-06-02</x:v>
      </x:c>
      <x:c r="K426" t="n">
        <x:v>0</x:v>
      </x:c>
      <x:c r="L426" t="str">
        <x:v>Partial</x:v>
      </x:c>
      <x:c r="M426" t="str">
        <x:v>Matched</x:v>
      </x:c>
    </x:row>
    <x:row r="427">
      <x:c r="A427" t="str">
        <x:v>PO500425</x:v>
      </x:c>
      <x:c r="B427" t="str">
        <x:v>2026-05-15</x:v>
      </x:c>
      <x:c r="C427" t="str">
        <x:v>V1002</x:v>
      </x:c>
      <x:c r="D427" t="str">
        <x:v>MAT2058</x:v>
      </x:c>
      <x:c r="E427" t="n">
        <x:v>96</x:v>
      </x:c>
      <x:c r="F427" t="n">
        <x:v>92</x:v>
      </x:c>
      <x:c r="G427" s="8" t="n">
        <x:v>61.82</x:v>
      </x:c>
      <x:c r="H427" s="8" t="n">
        <x:v>5934.72</x:v>
      </x:c>
      <x:c r="I427" t="str">
        <x:v>2026-05-23</x:v>
      </x:c>
      <x:c r="J427" t="str">
        <x:v>2026-05-23</x:v>
      </x:c>
      <x:c r="K427" t="n">
        <x:v>0</x:v>
      </x:c>
      <x:c r="L427" t="str">
        <x:v>Partial</x:v>
      </x:c>
      <x:c r="M427" t="str">
        <x:v>Pending</x:v>
      </x:c>
    </x:row>
    <x:row r="428">
      <x:c r="A428" t="str">
        <x:v>PO500426</x:v>
      </x:c>
      <x:c r="B428" t="str">
        <x:v>2026-02-26</x:v>
      </x:c>
      <x:c r="C428" t="str">
        <x:v>V1008</x:v>
      </x:c>
      <x:c r="D428" t="str">
        <x:v>MAT2052</x:v>
      </x:c>
      <x:c r="E428" t="n">
        <x:v>434</x:v>
      </x:c>
      <x:c r="F428" t="n">
        <x:v>434</x:v>
      </x:c>
      <x:c r="G428" s="8" t="n">
        <x:v>1367.37</x:v>
      </x:c>
      <x:c r="H428" s="8" t="n">
        <x:v>593438.58</x:v>
      </x:c>
      <x:c r="I428" t="str">
        <x:v>2026-03-09</x:v>
      </x:c>
      <x:c r="J428" t="str">
        <x:v>2026-03-09</x:v>
      </x:c>
      <x:c r="K428" t="n">
        <x:v>0</x:v>
      </x:c>
      <x:c r="L428" t="str">
        <x:v>Complete</x:v>
      </x:c>
      <x:c r="M428" t="str">
        <x:v>Matched</x:v>
      </x:c>
    </x:row>
    <x:row r="429">
      <x:c r="A429" t="str">
        <x:v>PO500427</x:v>
      </x:c>
      <x:c r="B429" t="str">
        <x:v>2026-02-05</x:v>
      </x:c>
      <x:c r="C429" t="str">
        <x:v>V1000</x:v>
      </x:c>
      <x:c r="D429" t="str">
        <x:v>MAT2072</x:v>
      </x:c>
      <x:c r="E429" t="n">
        <x:v>473</x:v>
      </x:c>
      <x:c r="F429" t="n">
        <x:v>473</x:v>
      </x:c>
      <x:c r="G429" s="8" t="n">
        <x:v>393.2</x:v>
      </x:c>
      <x:c r="H429" s="8" t="n">
        <x:v>185983.6</x:v>
      </x:c>
      <x:c r="I429" t="str">
        <x:v>2026-02-21</x:v>
      </x:c>
      <x:c r="J429" t="str">
        <x:v>2026-02-21</x:v>
      </x:c>
      <x:c r="K429" t="n">
        <x:v>0</x:v>
      </x:c>
      <x:c r="L429" t="str">
        <x:v>Complete</x:v>
      </x:c>
      <x:c r="M429" t="str">
        <x:v>Mismatch</x:v>
      </x:c>
    </x:row>
    <x:row r="430">
      <x:c r="A430" t="str">
        <x:v>PO500428</x:v>
      </x:c>
      <x:c r="B430" t="str">
        <x:v>2026-04-04</x:v>
      </x:c>
      <x:c r="C430" t="str">
        <x:v>V1005</x:v>
      </x:c>
      <x:c r="D430" t="str">
        <x:v>MAT2055</x:v>
      </x:c>
      <x:c r="E430" t="n">
        <x:v>25</x:v>
      </x:c>
      <x:c r="F430" t="n">
        <x:v>23</x:v>
      </x:c>
      <x:c r="G430" s="8" t="n">
        <x:v>2315.15</x:v>
      </x:c>
      <x:c r="H430" s="8" t="n">
        <x:v>57878.75</x:v>
      </x:c>
      <x:c r="I430" t="str">
        <x:v>2026-04-11</x:v>
      </x:c>
      <x:c r="J430" t="str">
        <x:v>2026-04-11</x:v>
      </x:c>
      <x:c r="K430" t="n">
        <x:v>0</x:v>
      </x:c>
      <x:c r="L430" t="str">
        <x:v>Partial</x:v>
      </x:c>
      <x:c r="M430" t="str">
        <x:v>Matched</x:v>
      </x:c>
    </x:row>
    <x:row r="431">
      <x:c r="A431" t="str">
        <x:v>PO500429</x:v>
      </x:c>
      <x:c r="B431" t="str">
        <x:v>2026-01-28</x:v>
      </x:c>
      <x:c r="C431" t="str">
        <x:v>V1006</x:v>
      </x:c>
      <x:c r="D431" t="str">
        <x:v>MAT2065</x:v>
      </x:c>
      <x:c r="E431" t="n">
        <x:v>28</x:v>
      </x:c>
      <x:c r="F431" t="n">
        <x:v>28</x:v>
      </x:c>
      <x:c r="G431" s="8" t="n">
        <x:v>1155.68</x:v>
      </x:c>
      <x:c r="H431" s="8" t="n">
        <x:v>32359.04</x:v>
      </x:c>
      <x:c r="I431" t="str">
        <x:v>2026-02-04</x:v>
      </x:c>
      <x:c r="J431" t="str">
        <x:v>2026-02-04</x:v>
      </x:c>
      <x:c r="K431" t="n">
        <x:v>0</x:v>
      </x:c>
      <x:c r="L431" t="str">
        <x:v>Complete</x:v>
      </x:c>
      <x:c r="M431" t="str">
        <x:v>Mismatch</x:v>
      </x:c>
    </x:row>
    <x:row r="432">
      <x:c r="A432" t="str">
        <x:v>PO500430</x:v>
      </x:c>
      <x:c r="B432" t="str">
        <x:v>2026-02-04</x:v>
      </x:c>
      <x:c r="C432" t="str">
        <x:v>V1015</x:v>
      </x:c>
      <x:c r="D432" t="str">
        <x:v>MAT2014</x:v>
      </x:c>
      <x:c r="E432" t="n">
        <x:v>61</x:v>
      </x:c>
      <x:c r="F432" t="n">
        <x:v>61</x:v>
      </x:c>
      <x:c r="G432" s="8" t="n">
        <x:v>1154.6</x:v>
      </x:c>
      <x:c r="H432" s="8" t="n">
        <x:v>70430.6</x:v>
      </x:c>
      <x:c r="I432" t="str">
        <x:v>2026-02-10</x:v>
      </x:c>
      <x:c r="J432" t="str">
        <x:v>2026-02-10</x:v>
      </x:c>
      <x:c r="K432" t="n">
        <x:v>0</x:v>
      </x:c>
      <x:c r="L432" t="str">
        <x:v>Complete</x:v>
      </x:c>
      <x:c r="M432" t="str">
        <x:v>Matched</x:v>
      </x:c>
    </x:row>
    <x:row r="433">
      <x:c r="A433" t="str">
        <x:v>PO500431</x:v>
      </x:c>
      <x:c r="B433" t="str">
        <x:v>2026-02-08</x:v>
      </x:c>
      <x:c r="C433" t="str">
        <x:v>V1001</x:v>
      </x:c>
      <x:c r="D433" t="str">
        <x:v>MAT2021</x:v>
      </x:c>
      <x:c r="E433" t="n">
        <x:v>249</x:v>
      </x:c>
      <x:c r="F433" t="n">
        <x:v>230</x:v>
      </x:c>
      <x:c r="G433" s="8" t="n">
        <x:v>1855.65</x:v>
      </x:c>
      <x:c r="H433" s="8" t="n">
        <x:v>462056.85</x:v>
      </x:c>
      <x:c r="I433" t="str">
        <x:v>2026-02-16</x:v>
      </x:c>
      <x:c r="J433" t="str">
        <x:v>2026-02-16</x:v>
      </x:c>
      <x:c r="K433" t="n">
        <x:v>0</x:v>
      </x:c>
      <x:c r="L433" t="str">
        <x:v>Partial</x:v>
      </x:c>
      <x:c r="M433" t="str">
        <x:v>Pending</x:v>
      </x:c>
    </x:row>
    <x:row r="434">
      <x:c r="A434" t="str">
        <x:v>PO500432</x:v>
      </x:c>
      <x:c r="B434" t="str">
        <x:v>2026-06-29</x:v>
      </x:c>
      <x:c r="C434" t="str">
        <x:v>V1010</x:v>
      </x:c>
      <x:c r="D434" t="str">
        <x:v>MAT2061</x:v>
      </x:c>
      <x:c r="E434" t="n">
        <x:v>83</x:v>
      </x:c>
      <x:c r="F434" t="n">
        <x:v>81</x:v>
      </x:c>
      <x:c r="G434" s="8" t="n">
        <x:v>731.5</x:v>
      </x:c>
      <x:c r="H434" s="8" t="n">
        <x:v>60714.5</x:v>
      </x:c>
      <x:c r="I434" t="str">
        <x:v>2026-07-11</x:v>
      </x:c>
      <x:c r="J434" t="str">
        <x:v>2026-07-11</x:v>
      </x:c>
      <x:c r="K434" t="n">
        <x:v>0</x:v>
      </x:c>
      <x:c r="L434" t="str">
        <x:v>Partial</x:v>
      </x:c>
      <x:c r="M434" t="str">
        <x:v>Pending</x:v>
      </x:c>
    </x:row>
    <x:row r="435">
      <x:c r="A435" t="str">
        <x:v>PO500433</x:v>
      </x:c>
      <x:c r="B435" t="str">
        <x:v>2026-05-25</x:v>
      </x:c>
      <x:c r="C435" t="str">
        <x:v>V1016</x:v>
      </x:c>
      <x:c r="D435" t="str">
        <x:v>MAT2026</x:v>
      </x:c>
      <x:c r="E435" t="n">
        <x:v>183</x:v>
      </x:c>
      <x:c r="F435" t="n">
        <x:v>183</x:v>
      </x:c>
      <x:c r="G435" s="8" t="n">
        <x:v>232.56</x:v>
      </x:c>
      <x:c r="H435" s="8" t="n">
        <x:v>42558.48</x:v>
      </x:c>
      <x:c r="I435" t="str">
        <x:v>2026-06-01</x:v>
      </x:c>
      <x:c r="J435" t="str">
        <x:v>2026-06-01</x:v>
      </x:c>
      <x:c r="K435" t="n">
        <x:v>0</x:v>
      </x:c>
      <x:c r="L435" t="str">
        <x:v>Complete</x:v>
      </x:c>
      <x:c r="M435" t="str">
        <x:v>Mismatch</x:v>
      </x:c>
    </x:row>
    <x:row r="436">
      <x:c r="A436" t="str">
        <x:v>PO500434</x:v>
      </x:c>
      <x:c r="B436" t="str">
        <x:v>2026-05-19</x:v>
      </x:c>
      <x:c r="C436" t="str">
        <x:v>V1029</x:v>
      </x:c>
      <x:c r="D436" t="str">
        <x:v>MAT2044</x:v>
      </x:c>
      <x:c r="E436" t="n">
        <x:v>161</x:v>
      </x:c>
      <x:c r="F436" t="n">
        <x:v>161</x:v>
      </x:c>
      <x:c r="G436" s="8" t="n">
        <x:v>304.56</x:v>
      </x:c>
      <x:c r="H436" s="8" t="n">
        <x:v>49034.16</x:v>
      </x:c>
      <x:c r="I436" t="str">
        <x:v>2026-05-24</x:v>
      </x:c>
      <x:c r="J436" t="str">
        <x:v>2026-05-25</x:v>
      </x:c>
      <x:c r="K436" t="n">
        <x:v>1</x:v>
      </x:c>
      <x:c r="L436" t="str">
        <x:v>Complete</x:v>
      </x:c>
      <x:c r="M436" t="str">
        <x:v>Matched</x:v>
      </x:c>
    </x:row>
    <x:row r="437">
      <x:c r="A437" t="str">
        <x:v>PO500435</x:v>
      </x:c>
      <x:c r="B437" t="str">
        <x:v>2026-05-23</x:v>
      </x:c>
      <x:c r="C437" t="str">
        <x:v>V1022</x:v>
      </x:c>
      <x:c r="D437" t="str">
        <x:v>MAT2050</x:v>
      </x:c>
      <x:c r="E437" t="n">
        <x:v>152</x:v>
      </x:c>
      <x:c r="F437" t="n">
        <x:v>152</x:v>
      </x:c>
      <x:c r="G437" s="8" t="n">
        <x:v>779.1</x:v>
      </x:c>
      <x:c r="H437" s="8" t="n">
        <x:v>118423.2</x:v>
      </x:c>
      <x:c r="I437" t="str">
        <x:v>2026-06-07</x:v>
      </x:c>
      <x:c r="J437" t="str">
        <x:v>2026-06-07</x:v>
      </x:c>
      <x:c r="K437" t="n">
        <x:v>0</x:v>
      </x:c>
      <x:c r="L437" t="str">
        <x:v>Complete</x:v>
      </x:c>
      <x:c r="M437" t="str">
        <x:v>Matched</x:v>
      </x:c>
    </x:row>
    <x:row r="438">
      <x:c r="A438" t="str">
        <x:v>PO500436</x:v>
      </x:c>
      <x:c r="B438" t="str">
        <x:v>2026-05-15</x:v>
      </x:c>
      <x:c r="C438" t="str">
        <x:v>V1003</x:v>
      </x:c>
      <x:c r="D438" t="str">
        <x:v>MAT2079</x:v>
      </x:c>
      <x:c r="E438" t="n">
        <x:v>235</x:v>
      </x:c>
      <x:c r="F438" t="n">
        <x:v>235</x:v>
      </x:c>
      <x:c r="G438" s="8" t="n">
        <x:v>89.05</x:v>
      </x:c>
      <x:c r="H438" s="8" t="n">
        <x:v>20926.75</x:v>
      </x:c>
      <x:c r="I438" t="str">
        <x:v>2026-05-20</x:v>
      </x:c>
      <x:c r="J438" t="str">
        <x:v>2026-05-20</x:v>
      </x:c>
      <x:c r="K438" t="n">
        <x:v>0</x:v>
      </x:c>
      <x:c r="L438" t="str">
        <x:v>Complete</x:v>
      </x:c>
      <x:c r="M438" t="str">
        <x:v>Matched</x:v>
      </x:c>
    </x:row>
    <x:row r="439">
      <x:c r="A439" t="str">
        <x:v>PO500437</x:v>
      </x:c>
      <x:c r="B439" t="str">
        <x:v>2026-04-26</x:v>
      </x:c>
      <x:c r="C439" t="str">
        <x:v>V1018</x:v>
      </x:c>
      <x:c r="D439" t="str">
        <x:v>MAT2023</x:v>
      </x:c>
      <x:c r="E439" t="n">
        <x:v>435</x:v>
      </x:c>
      <x:c r="F439" t="n">
        <x:v>435</x:v>
      </x:c>
      <x:c r="G439" s="8" t="n">
        <x:v>52.39</x:v>
      </x:c>
      <x:c r="H439" s="8" t="n">
        <x:v>22789.65</x:v>
      </x:c>
      <x:c r="I439" t="str">
        <x:v>2026-05-04</x:v>
      </x:c>
      <x:c r="J439" t="str">
        <x:v>2026-05-06</x:v>
      </x:c>
      <x:c r="K439" t="n">
        <x:v>2</x:v>
      </x:c>
      <x:c r="L439" t="str">
        <x:v>Complete</x:v>
      </x:c>
      <x:c r="M439" t="str">
        <x:v>Matched</x:v>
      </x:c>
    </x:row>
    <x:row r="440">
      <x:c r="A440" t="str">
        <x:v>PO500438</x:v>
      </x:c>
      <x:c r="B440" t="str">
        <x:v>2026-08-09</x:v>
      </x:c>
      <x:c r="C440" t="str">
        <x:v>V1027</x:v>
      </x:c>
      <x:c r="D440" t="str">
        <x:v>MAT2013</x:v>
      </x:c>
      <x:c r="E440" t="n">
        <x:v>298</x:v>
      </x:c>
      <x:c r="F440" t="n">
        <x:v>291</x:v>
      </x:c>
      <x:c r="G440" s="8" t="n">
        <x:v>115.16</x:v>
      </x:c>
      <x:c r="H440" s="8" t="n">
        <x:v>34317.68</x:v>
      </x:c>
      <x:c r="I440" t="str">
        <x:v>2026-08-17</x:v>
      </x:c>
      <x:c r="J440" t="str">
        <x:v>2026-08-20</x:v>
      </x:c>
      <x:c r="K440" t="n">
        <x:v>3</x:v>
      </x:c>
      <x:c r="L440" t="str">
        <x:v>Partial</x:v>
      </x:c>
      <x:c r="M440" t="str">
        <x:v>Pending</x:v>
      </x:c>
    </x:row>
    <x:row r="441">
      <x:c r="A441" t="str">
        <x:v>PO500439</x:v>
      </x:c>
      <x:c r="B441" t="str">
        <x:v>2026-08-07</x:v>
      </x:c>
      <x:c r="C441" t="str">
        <x:v>V1016</x:v>
      </x:c>
      <x:c r="D441" t="str">
        <x:v>MAT2078</x:v>
      </x:c>
      <x:c r="E441" t="n">
        <x:v>97</x:v>
      </x:c>
      <x:c r="F441" t="n">
        <x:v>97</x:v>
      </x:c>
      <x:c r="G441" s="8" t="n">
        <x:v>837.1</x:v>
      </x:c>
      <x:c r="H441" s="8" t="n">
        <x:v>81198.7</x:v>
      </x:c>
      <x:c r="I441" t="str">
        <x:v>2026-08-10</x:v>
      </x:c>
      <x:c r="J441" t="str">
        <x:v>2026-08-12</x:v>
      </x:c>
      <x:c r="K441" t="n">
        <x:v>2</x:v>
      </x:c>
      <x:c r="L441" t="str">
        <x:v>Complete</x:v>
      </x:c>
      <x:c r="M441" t="str">
        <x:v>Pending</x:v>
      </x:c>
    </x:row>
    <x:row r="442">
      <x:c r="A442" t="str">
        <x:v>PO500440</x:v>
      </x:c>
      <x:c r="B442" t="str">
        <x:v>2026-02-09</x:v>
      </x:c>
      <x:c r="C442" t="str">
        <x:v>V1020</x:v>
      </x:c>
      <x:c r="D442" t="str">
        <x:v>MAT2034</x:v>
      </x:c>
      <x:c r="E442" t="n">
        <x:v>270</x:v>
      </x:c>
      <x:c r="F442" t="n">
        <x:v>270</x:v>
      </x:c>
      <x:c r="G442" s="8" t="n">
        <x:v>1913.27</x:v>
      </x:c>
      <x:c r="H442" s="8" t="n">
        <x:v>516582.9</x:v>
      </x:c>
      <x:c r="I442" t="str">
        <x:v>2026-02-28</x:v>
      </x:c>
      <x:c r="J442" t="str">
        <x:v>2026-02-28</x:v>
      </x:c>
      <x:c r="K442" t="n">
        <x:v>0</x:v>
      </x:c>
      <x:c r="L442" t="str">
        <x:v>Complete</x:v>
      </x:c>
      <x:c r="M442" t="str">
        <x:v>Matched</x:v>
      </x:c>
    </x:row>
    <x:row r="443">
      <x:c r="A443" t="str">
        <x:v>PO500441</x:v>
      </x:c>
      <x:c r="B443" t="str">
        <x:v>2026-06-28</x:v>
      </x:c>
      <x:c r="C443" t="str">
        <x:v>V1014</x:v>
      </x:c>
      <x:c r="D443" t="str">
        <x:v>MAT2031</x:v>
      </x:c>
      <x:c r="E443" t="n">
        <x:v>362</x:v>
      </x:c>
      <x:c r="F443" t="n">
        <x:v>362</x:v>
      </x:c>
      <x:c r="G443" s="8" t="n">
        <x:v>1370.02</x:v>
      </x:c>
      <x:c r="H443" s="8" t="n">
        <x:v>495947.24</x:v>
      </x:c>
      <x:c r="I443" t="str">
        <x:v>2026-07-13</x:v>
      </x:c>
      <x:c r="J443" t="str">
        <x:v>2026-07-18</x:v>
      </x:c>
      <x:c r="K443" t="n">
        <x:v>5</x:v>
      </x:c>
      <x:c r="L443" t="str">
        <x:v>Complete</x:v>
      </x:c>
      <x:c r="M443" t="str">
        <x:v>Matched</x:v>
      </x:c>
    </x:row>
    <x:row r="444">
      <x:c r="A444" t="str">
        <x:v>PO500442</x:v>
      </x:c>
      <x:c r="B444" t="str">
        <x:v>2026-07-14</x:v>
      </x:c>
      <x:c r="C444" t="str">
        <x:v>V1013</x:v>
      </x:c>
      <x:c r="D444" t="str">
        <x:v>MAT2009</x:v>
      </x:c>
      <x:c r="E444" t="n">
        <x:v>483</x:v>
      </x:c>
      <x:c r="F444" t="n">
        <x:v>483</x:v>
      </x:c>
      <x:c r="G444" s="8" t="n">
        <x:v>534.62</x:v>
      </x:c>
      <x:c r="H444" s="8" t="n">
        <x:v>258221.46</x:v>
      </x:c>
      <x:c r="I444" t="str">
        <x:v>2026-08-01</x:v>
      </x:c>
      <x:c r="J444" t="str">
        <x:v>2026-08-01</x:v>
      </x:c>
      <x:c r="K444" t="n">
        <x:v>0</x:v>
      </x:c>
      <x:c r="L444" t="str">
        <x:v>Complete</x:v>
      </x:c>
      <x:c r="M444" t="str">
        <x:v>Matched</x:v>
      </x:c>
    </x:row>
    <x:row r="445">
      <x:c r="A445" t="str">
        <x:v>PO500443</x:v>
      </x:c>
      <x:c r="B445" t="str">
        <x:v>2026-08-15</x:v>
      </x:c>
      <x:c r="C445" t="str">
        <x:v>V1030</x:v>
      </x:c>
      <x:c r="D445" t="str">
        <x:v>MAT2054</x:v>
      </x:c>
      <x:c r="E445" t="n">
        <x:v>78</x:v>
      </x:c>
      <x:c r="F445" t="n">
        <x:v>78</x:v>
      </x:c>
      <x:c r="G445" s="8" t="n">
        <x:v>1654.07</x:v>
      </x:c>
      <x:c r="H445" s="8" t="n">
        <x:v>129017.46</x:v>
      </x:c>
      <x:c r="I445" t="str">
        <x:v>2026-08-24</x:v>
      </x:c>
      <x:c r="J445" t="str">
        <x:v>2026-08-24</x:v>
      </x:c>
      <x:c r="K445" t="n">
        <x:v>0</x:v>
      </x:c>
      <x:c r="L445" t="str">
        <x:v>Complete</x:v>
      </x:c>
      <x:c r="M445" t="str">
        <x:v>Matched</x:v>
      </x:c>
    </x:row>
    <x:row r="446">
      <x:c r="A446" t="str">
        <x:v>PO500444</x:v>
      </x:c>
      <x:c r="B446" t="str">
        <x:v>2026-05-22</x:v>
      </x:c>
      <x:c r="C446" t="str">
        <x:v>V1001</x:v>
      </x:c>
      <x:c r="D446" t="str">
        <x:v>MAT2008</x:v>
      </x:c>
      <x:c r="E446" t="n">
        <x:v>419</x:v>
      </x:c>
      <x:c r="F446" t="n">
        <x:v>419</x:v>
      </x:c>
      <x:c r="G446" s="8" t="n">
        <x:v>1563.55</x:v>
      </x:c>
      <x:c r="H446" s="8" t="n">
        <x:v>655127.45</x:v>
      </x:c>
      <x:c r="I446" t="str">
        <x:v>2026-05-31</x:v>
      </x:c>
      <x:c r="J446" t="str">
        <x:v>2026-06-12</x:v>
      </x:c>
      <x:c r="K446" t="n">
        <x:v>12</x:v>
      </x:c>
      <x:c r="L446" t="str">
        <x:v>Complete</x:v>
      </x:c>
      <x:c r="M446" t="str">
        <x:v>Mismatch</x:v>
      </x:c>
    </x:row>
    <x:row r="447">
      <x:c r="A447" t="str">
        <x:v>PO500445</x:v>
      </x:c>
      <x:c r="B447" t="str">
        <x:v>2026-08-14</x:v>
      </x:c>
      <x:c r="C447" t="str">
        <x:v>V1033</x:v>
      </x:c>
      <x:c r="D447" t="str">
        <x:v>MAT2002</x:v>
      </x:c>
      <x:c r="E447" t="n">
        <x:v>274</x:v>
      </x:c>
      <x:c r="F447" t="n">
        <x:v>274</x:v>
      </x:c>
      <x:c r="G447" s="8" t="n">
        <x:v>1065.2</x:v>
      </x:c>
      <x:c r="H447" s="8" t="n">
        <x:v>291864.8</x:v>
      </x:c>
      <x:c r="I447" t="str">
        <x:v>2026-08-17</x:v>
      </x:c>
      <x:c r="J447" t="str">
        <x:v>2026-08-17</x:v>
      </x:c>
      <x:c r="K447" t="n">
        <x:v>0</x:v>
      </x:c>
      <x:c r="L447" t="str">
        <x:v>Complete</x:v>
      </x:c>
      <x:c r="M447" t="str">
        <x:v>Matched</x:v>
      </x:c>
    </x:row>
    <x:row r="448">
      <x:c r="A448" t="str">
        <x:v>PO500446</x:v>
      </x:c>
      <x:c r="B448" t="str">
        <x:v>2026-01-21</x:v>
      </x:c>
      <x:c r="C448" t="str">
        <x:v>V1014</x:v>
      </x:c>
      <x:c r="D448" t="str">
        <x:v>MAT2048</x:v>
      </x:c>
      <x:c r="E448" t="n">
        <x:v>247</x:v>
      </x:c>
      <x:c r="F448" t="n">
        <x:v>227</x:v>
      </x:c>
      <x:c r="G448" s="8" t="n">
        <x:v>2447.34</x:v>
      </x:c>
      <x:c r="H448" s="8" t="n">
        <x:v>604492.98</x:v>
      </x:c>
      <x:c r="I448" t="str">
        <x:v>2026-01-24</x:v>
      </x:c>
      <x:c r="J448" t="str">
        <x:v>2026-01-24</x:v>
      </x:c>
      <x:c r="K448" t="n">
        <x:v>0</x:v>
      </x:c>
      <x:c r="L448" t="str">
        <x:v>Partial</x:v>
      </x:c>
      <x:c r="M448" t="str">
        <x:v>Pending</x:v>
      </x:c>
    </x:row>
    <x:row r="449">
      <x:c r="A449" t="str">
        <x:v>PO500447</x:v>
      </x:c>
      <x:c r="B449" t="str">
        <x:v>2026-06-21</x:v>
      </x:c>
      <x:c r="C449" t="str">
        <x:v>V1003</x:v>
      </x:c>
      <x:c r="D449" t="str">
        <x:v>MAT2044</x:v>
      </x:c>
      <x:c r="E449" t="n">
        <x:v>218</x:v>
      </x:c>
      <x:c r="F449" t="n">
        <x:v>197</x:v>
      </x:c>
      <x:c r="G449" s="8" t="n">
        <x:v>1917.01</x:v>
      </x:c>
      <x:c r="H449" s="8" t="n">
        <x:v>417908.18</x:v>
      </x:c>
      <x:c r="I449" t="str">
        <x:v>2026-06-26</x:v>
      </x:c>
      <x:c r="J449" t="str">
        <x:v>2026-06-26</x:v>
      </x:c>
      <x:c r="K449" t="n">
        <x:v>0</x:v>
      </x:c>
      <x:c r="L449" t="str">
        <x:v>Partial</x:v>
      </x:c>
      <x:c r="M449" t="str">
        <x:v>Matched</x:v>
      </x:c>
    </x:row>
    <x:row r="450">
      <x:c r="A450" t="str">
        <x:v>PO500448</x:v>
      </x:c>
      <x:c r="B450" t="str">
        <x:v>2026-05-09</x:v>
      </x:c>
      <x:c r="C450" t="str">
        <x:v>V1029</x:v>
      </x:c>
      <x:c r="D450" t="str">
        <x:v>MAT2007</x:v>
      </x:c>
      <x:c r="E450" t="n">
        <x:v>424</x:v>
      </x:c>
      <x:c r="F450" t="n">
        <x:v>424</x:v>
      </x:c>
      <x:c r="G450" s="8" t="n">
        <x:v>2412.6</x:v>
      </x:c>
      <x:c r="H450" s="8" t="n">
        <x:v>1022942.4</x:v>
      </x:c>
      <x:c r="I450" t="str">
        <x:v>2026-05-14</x:v>
      </x:c>
      <x:c r="J450" t="str">
        <x:v>2026-05-14</x:v>
      </x:c>
      <x:c r="K450" t="n">
        <x:v>0</x:v>
      </x:c>
      <x:c r="L450" t="str">
        <x:v>Complete</x:v>
      </x:c>
      <x:c r="M450" t="str">
        <x:v>Pending</x:v>
      </x:c>
    </x:row>
    <x:row r="451">
      <x:c r="A451" t="str">
        <x:v>PO500449</x:v>
      </x:c>
      <x:c r="B451" t="str">
        <x:v>2026-01-21</x:v>
      </x:c>
      <x:c r="C451" t="str">
        <x:v>V1027</x:v>
      </x:c>
      <x:c r="D451" t="str">
        <x:v>MAT2033</x:v>
      </x:c>
      <x:c r="E451" t="n">
        <x:v>495</x:v>
      </x:c>
      <x:c r="F451" t="n">
        <x:v>495</x:v>
      </x:c>
      <x:c r="G451" s="8" t="n">
        <x:v>801.11</x:v>
      </x:c>
      <x:c r="H451" s="8" t="n">
        <x:v>396549.45</x:v>
      </x:c>
      <x:c r="I451" t="str">
        <x:v>2026-02-06</x:v>
      </x:c>
      <x:c r="J451" t="str">
        <x:v>2026-02-08</x:v>
      </x:c>
      <x:c r="K451" t="n">
        <x:v>2</x:v>
      </x:c>
      <x:c r="L451" t="str">
        <x:v>Complete</x:v>
      </x:c>
      <x:c r="M451" t="str">
        <x:v>Matched</x:v>
      </x:c>
    </x:row>
    <x:row r="452">
      <x:c r="A452" t="str">
        <x:v>PO500450</x:v>
      </x:c>
      <x:c r="B452" t="str">
        <x:v>2026-01-02</x:v>
      </x:c>
      <x:c r="C452" t="str">
        <x:v>V1034</x:v>
      </x:c>
      <x:c r="D452" t="str">
        <x:v>MAT2027</x:v>
      </x:c>
      <x:c r="E452" t="n">
        <x:v>74</x:v>
      </x:c>
      <x:c r="F452" t="n">
        <x:v>74</x:v>
      </x:c>
      <x:c r="G452" s="8" t="n">
        <x:v>2357.35</x:v>
      </x:c>
      <x:c r="H452" s="8" t="n">
        <x:v>174443.9</x:v>
      </x:c>
      <x:c r="I452" t="str">
        <x:v>2026-01-21</x:v>
      </x:c>
      <x:c r="J452" t="str">
        <x:v>2026-01-21</x:v>
      </x:c>
      <x:c r="K452" t="n">
        <x:v>0</x:v>
      </x:c>
      <x:c r="L452" t="str">
        <x:v>Complete</x:v>
      </x:c>
      <x:c r="M452" t="str">
        <x:v>Matched</x:v>
      </x:c>
    </x:row>
    <x:row r="453">
      <x:c r="A453" t="str">
        <x:v>PO500451</x:v>
      </x:c>
      <x:c r="B453" t="str">
        <x:v>2026-01-04</x:v>
      </x:c>
      <x:c r="C453" t="str">
        <x:v>V1015</x:v>
      </x:c>
      <x:c r="D453" t="str">
        <x:v>MAT2064</x:v>
      </x:c>
      <x:c r="E453" t="n">
        <x:v>70</x:v>
      </x:c>
      <x:c r="F453" t="n">
        <x:v>70</x:v>
      </x:c>
      <x:c r="G453" s="8" t="n">
        <x:v>1242.45</x:v>
      </x:c>
      <x:c r="H453" s="8" t="n">
        <x:v>86971.5</x:v>
      </x:c>
      <x:c r="I453" t="str">
        <x:v>2026-01-24</x:v>
      </x:c>
      <x:c r="J453" t="str">
        <x:v>2026-01-24</x:v>
      </x:c>
      <x:c r="K453" t="n">
        <x:v>0</x:v>
      </x:c>
      <x:c r="L453" t="str">
        <x:v>Complete</x:v>
      </x:c>
      <x:c r="M453" t="str">
        <x:v>Matched</x:v>
      </x:c>
    </x:row>
    <x:row r="454">
      <x:c r="A454" t="str">
        <x:v>PO500452</x:v>
      </x:c>
      <x:c r="B454" t="str">
        <x:v>2026-08-02</x:v>
      </x:c>
      <x:c r="C454" t="str">
        <x:v>V1007</x:v>
      </x:c>
      <x:c r="D454" t="str">
        <x:v>MAT2061</x:v>
      </x:c>
      <x:c r="E454" t="n">
        <x:v>430</x:v>
      </x:c>
      <x:c r="F454" t="n">
        <x:v>430</x:v>
      </x:c>
      <x:c r="G454" s="8" t="n">
        <x:v>1493.44</x:v>
      </x:c>
      <x:c r="H454" s="8" t="n">
        <x:v>642179.2</x:v>
      </x:c>
      <x:c r="I454" t="str">
        <x:v>2026-08-07</x:v>
      </x:c>
      <x:c r="J454" t="str">
        <x:v>2026-08-07</x:v>
      </x:c>
      <x:c r="K454" t="n">
        <x:v>0</x:v>
      </x:c>
      <x:c r="L454" t="str">
        <x:v>Complete</x:v>
      </x:c>
      <x:c r="M454" t="str">
        <x:v>Mismatch</x:v>
      </x:c>
    </x:row>
    <x:row r="455">
      <x:c r="A455" t="str">
        <x:v>PO500453</x:v>
      </x:c>
      <x:c r="B455" t="str">
        <x:v>2026-02-07</x:v>
      </x:c>
      <x:c r="C455" t="str">
        <x:v>V1009</x:v>
      </x:c>
      <x:c r="D455" t="str">
        <x:v>MAT2041</x:v>
      </x:c>
      <x:c r="E455" t="n">
        <x:v>433</x:v>
      </x:c>
      <x:c r="F455" t="n">
        <x:v>433</x:v>
      </x:c>
      <x:c r="G455" s="8" t="n">
        <x:v>91.88</x:v>
      </x:c>
      <x:c r="H455" s="8" t="n">
        <x:v>39784.04</x:v>
      </x:c>
      <x:c r="I455" t="str">
        <x:v>2026-02-24</x:v>
      </x:c>
      <x:c r="J455" t="str">
        <x:v>2026-02-27</x:v>
      </x:c>
      <x:c r="K455" t="n">
        <x:v>3</x:v>
      </x:c>
      <x:c r="L455" t="str">
        <x:v>Complete</x:v>
      </x:c>
      <x:c r="M455" t="str">
        <x:v>Mismatch</x:v>
      </x:c>
    </x:row>
    <x:row r="456">
      <x:c r="A456" t="str">
        <x:v>PO500454</x:v>
      </x:c>
      <x:c r="B456" t="str">
        <x:v>2026-03-15</x:v>
      </x:c>
      <x:c r="C456" t="str">
        <x:v>V1010</x:v>
      </x:c>
      <x:c r="D456" t="str">
        <x:v>MAT2040</x:v>
      </x:c>
      <x:c r="E456" t="n">
        <x:v>476</x:v>
      </x:c>
      <x:c r="F456" t="n">
        <x:v>476</x:v>
      </x:c>
      <x:c r="G456" s="8" t="n">
        <x:v>939.13</x:v>
      </x:c>
      <x:c r="H456" s="8" t="n">
        <x:v>447025.88</x:v>
      </x:c>
      <x:c r="I456" t="str">
        <x:v>2026-03-23</x:v>
      </x:c>
      <x:c r="J456" t="str">
        <x:v>2026-03-23</x:v>
      </x:c>
      <x:c r="K456" t="n">
        <x:v>0</x:v>
      </x:c>
      <x:c r="L456" t="str">
        <x:v>Complete</x:v>
      </x:c>
      <x:c r="M456" t="str">
        <x:v>Matched</x:v>
      </x:c>
    </x:row>
    <x:row r="457">
      <x:c r="A457" t="str">
        <x:v>PO500455</x:v>
      </x:c>
      <x:c r="B457" t="str">
        <x:v>2026-08-03</x:v>
      </x:c>
      <x:c r="C457" t="str">
        <x:v>V1006</x:v>
      </x:c>
      <x:c r="D457" t="str">
        <x:v>MAT2037</x:v>
      </x:c>
      <x:c r="E457" t="n">
        <x:v>264</x:v>
      </x:c>
      <x:c r="F457" t="n">
        <x:v>264</x:v>
      </x:c>
      <x:c r="G457" s="8" t="n">
        <x:v>2459.38</x:v>
      </x:c>
      <x:c r="H457" s="8" t="n">
        <x:v>649276.32</x:v>
      </x:c>
      <x:c r="I457" t="str">
        <x:v>2026-08-10</x:v>
      </x:c>
      <x:c r="J457" t="str">
        <x:v>2026-08-10</x:v>
      </x:c>
      <x:c r="K457" t="n">
        <x:v>0</x:v>
      </x:c>
      <x:c r="L457" t="str">
        <x:v>Complete</x:v>
      </x:c>
      <x:c r="M457" t="str">
        <x:v>Matched</x:v>
      </x:c>
    </x:row>
    <x:row r="458">
      <x:c r="A458" t="str">
        <x:v>PO500456</x:v>
      </x:c>
      <x:c r="B458" t="str">
        <x:v>2026-05-21</x:v>
      </x:c>
      <x:c r="C458" t="str">
        <x:v>V1029</x:v>
      </x:c>
      <x:c r="D458" t="str">
        <x:v>MAT2009</x:v>
      </x:c>
      <x:c r="E458" t="n">
        <x:v>458</x:v>
      </x:c>
      <x:c r="F458" t="n">
        <x:v>425</x:v>
      </x:c>
      <x:c r="G458" s="8" t="n">
        <x:v>1367</x:v>
      </x:c>
      <x:c r="H458" s="8" t="n">
        <x:v>626086</x:v>
      </x:c>
      <x:c r="I458" t="str">
        <x:v>2026-05-26</x:v>
      </x:c>
      <x:c r="J458" t="str">
        <x:v>2026-05-26</x:v>
      </x:c>
      <x:c r="K458" t="n">
        <x:v>0</x:v>
      </x:c>
      <x:c r="L458" t="str">
        <x:v>Partial</x:v>
      </x:c>
      <x:c r="M458" t="str">
        <x:v>Mismatch</x:v>
      </x:c>
    </x:row>
    <x:row r="459">
      <x:c r="A459" t="str">
        <x:v>PO500457</x:v>
      </x:c>
      <x:c r="B459" t="str">
        <x:v>2026-07-05</x:v>
      </x:c>
      <x:c r="C459" t="str">
        <x:v>V1029</x:v>
      </x:c>
      <x:c r="D459" t="str">
        <x:v>MAT2009</x:v>
      </x:c>
      <x:c r="E459" t="n">
        <x:v>358</x:v>
      </x:c>
      <x:c r="F459" t="n">
        <x:v>358</x:v>
      </x:c>
      <x:c r="G459" s="8" t="n">
        <x:v>1081.84</x:v>
      </x:c>
      <x:c r="H459" s="8" t="n">
        <x:v>387298.72</x:v>
      </x:c>
      <x:c r="I459" t="str">
        <x:v>2026-07-14</x:v>
      </x:c>
      <x:c r="J459" t="str">
        <x:v>2026-07-15</x:v>
      </x:c>
      <x:c r="K459" t="n">
        <x:v>1</x:v>
      </x:c>
      <x:c r="L459" t="str">
        <x:v>Complete</x:v>
      </x:c>
      <x:c r="M459" t="str">
        <x:v>Matched</x:v>
      </x:c>
    </x:row>
    <x:row r="460">
      <x:c r="A460" t="str">
        <x:v>PO500458</x:v>
      </x:c>
      <x:c r="B460" t="str">
        <x:v>2026-01-14</x:v>
      </x:c>
      <x:c r="C460" t="str">
        <x:v>V1016</x:v>
      </x:c>
      <x:c r="D460" t="str">
        <x:v>MAT2067</x:v>
      </x:c>
      <x:c r="E460" t="n">
        <x:v>260</x:v>
      </x:c>
      <x:c r="F460" t="n">
        <x:v>260</x:v>
      </x:c>
      <x:c r="G460" s="8" t="n">
        <x:v>1339.77</x:v>
      </x:c>
      <x:c r="H460" s="8" t="n">
        <x:v>348340.2</x:v>
      </x:c>
      <x:c r="I460" t="str">
        <x:v>2026-01-29</x:v>
      </x:c>
      <x:c r="J460" t="str">
        <x:v>2026-01-29</x:v>
      </x:c>
      <x:c r="K460" t="n">
        <x:v>0</x:v>
      </x:c>
      <x:c r="L460" t="str">
        <x:v>Complete</x:v>
      </x:c>
      <x:c r="M460" t="str">
        <x:v>Matched</x:v>
      </x:c>
    </x:row>
    <x:row r="461">
      <x:c r="A461" t="str">
        <x:v>PO500459</x:v>
      </x:c>
      <x:c r="B461" t="str">
        <x:v>2026-04-08</x:v>
      </x:c>
      <x:c r="C461" t="str">
        <x:v>V1006</x:v>
      </x:c>
      <x:c r="D461" t="str">
        <x:v>MAT2059</x:v>
      </x:c>
      <x:c r="E461" t="n">
        <x:v>219</x:v>
      </x:c>
      <x:c r="F461" t="n">
        <x:v>205</x:v>
      </x:c>
      <x:c r="G461" s="8" t="n">
        <x:v>775.18</x:v>
      </x:c>
      <x:c r="H461" s="8" t="n">
        <x:v>169764.42</x:v>
      </x:c>
      <x:c r="I461" t="str">
        <x:v>2026-04-19</x:v>
      </x:c>
      <x:c r="J461" t="str">
        <x:v>2026-04-19</x:v>
      </x:c>
      <x:c r="K461" t="n">
        <x:v>0</x:v>
      </x:c>
      <x:c r="L461" t="str">
        <x:v>Partial</x:v>
      </x:c>
      <x:c r="M461" t="str">
        <x:v>Matched</x:v>
      </x:c>
    </x:row>
    <x:row r="462">
      <x:c r="A462" t="str">
        <x:v>PO500460</x:v>
      </x:c>
      <x:c r="B462" t="str">
        <x:v>2026-08-19</x:v>
      </x:c>
      <x:c r="C462" t="str">
        <x:v>V1011</x:v>
      </x:c>
      <x:c r="D462" t="str">
        <x:v>MAT2003</x:v>
      </x:c>
      <x:c r="E462" t="n">
        <x:v>293</x:v>
      </x:c>
      <x:c r="F462" t="n">
        <x:v>293</x:v>
      </x:c>
      <x:c r="G462" s="8" t="n">
        <x:v>1314.03</x:v>
      </x:c>
      <x:c r="H462" s="8" t="n">
        <x:v>385010.79</x:v>
      </x:c>
      <x:c r="I462" t="str">
        <x:v>2026-08-31</x:v>
      </x:c>
      <x:c r="J462" t="str">
        <x:v>2026-08-31</x:v>
      </x:c>
      <x:c r="K462" t="n">
        <x:v>0</x:v>
      </x:c>
      <x:c r="L462" t="str">
        <x:v>Complete</x:v>
      </x:c>
      <x:c r="M462" t="str">
        <x:v>Mismatch</x:v>
      </x:c>
    </x:row>
    <x:row r="463">
      <x:c r="A463" t="str">
        <x:v>PO500461</x:v>
      </x:c>
      <x:c r="B463" t="str">
        <x:v>2026-06-24</x:v>
      </x:c>
      <x:c r="C463" t="str">
        <x:v>V1024</x:v>
      </x:c>
      <x:c r="D463" t="str">
        <x:v>MAT2057</x:v>
      </x:c>
      <x:c r="E463" t="n">
        <x:v>238</x:v>
      </x:c>
      <x:c r="F463" t="n">
        <x:v>238</x:v>
      </x:c>
      <x:c r="G463" s="8" t="n">
        <x:v>2357.22</x:v>
      </x:c>
      <x:c r="H463" s="8" t="n">
        <x:v>561018.36</x:v>
      </x:c>
      <x:c r="I463" t="str">
        <x:v>2026-07-14</x:v>
      </x:c>
      <x:c r="J463" t="str">
        <x:v>2026-07-14</x:v>
      </x:c>
      <x:c r="K463" t="n">
        <x:v>0</x:v>
      </x:c>
      <x:c r="L463" t="str">
        <x:v>Complete</x:v>
      </x:c>
      <x:c r="M463" t="str">
        <x:v>Matched</x:v>
      </x:c>
    </x:row>
    <x:row r="464">
      <x:c r="A464" t="str">
        <x:v>PO500462</x:v>
      </x:c>
      <x:c r="B464" t="str">
        <x:v>2026-08-11</x:v>
      </x:c>
      <x:c r="C464" t="str">
        <x:v>V1009</x:v>
      </x:c>
      <x:c r="D464" t="str">
        <x:v>MAT2030</x:v>
      </x:c>
      <x:c r="E464" t="n">
        <x:v>117</x:v>
      </x:c>
      <x:c r="F464" t="n">
        <x:v>117</x:v>
      </x:c>
      <x:c r="G464" s="8" t="n">
        <x:v>120.48</x:v>
      </x:c>
      <x:c r="H464" s="8" t="n">
        <x:v>14096.16</x:v>
      </x:c>
      <x:c r="I464" t="str">
        <x:v>2026-08-19</x:v>
      </x:c>
      <x:c r="J464" t="str">
        <x:v>2026-08-19</x:v>
      </x:c>
      <x:c r="K464" t="n">
        <x:v>0</x:v>
      </x:c>
      <x:c r="L464" t="str">
        <x:v>Complete</x:v>
      </x:c>
      <x:c r="M464" t="str">
        <x:v>Matched</x:v>
      </x:c>
    </x:row>
    <x:row r="465">
      <x:c r="A465" t="str">
        <x:v>PO500463</x:v>
      </x:c>
      <x:c r="B465" t="str">
        <x:v>2026-05-12</x:v>
      </x:c>
      <x:c r="C465" t="str">
        <x:v>V1002</x:v>
      </x:c>
      <x:c r="D465" t="str">
        <x:v>MAT2041</x:v>
      </x:c>
      <x:c r="E465" t="n">
        <x:v>474</x:v>
      </x:c>
      <x:c r="F465" t="n">
        <x:v>442</x:v>
      </x:c>
      <x:c r="G465" s="8" t="n">
        <x:v>109.68</x:v>
      </x:c>
      <x:c r="H465" s="8" t="n">
        <x:v>51988.32</x:v>
      </x:c>
      <x:c r="I465" t="str">
        <x:v>2026-05-27</x:v>
      </x:c>
      <x:c r="J465" t="str">
        <x:v>2026-06-08</x:v>
      </x:c>
      <x:c r="K465" t="n">
        <x:v>12</x:v>
      </x:c>
      <x:c r="L465" t="str">
        <x:v>Partial</x:v>
      </x:c>
      <x:c r="M465" t="str">
        <x:v>Matched</x:v>
      </x:c>
    </x:row>
    <x:row r="466">
      <x:c r="A466" t="str">
        <x:v>PO500464</x:v>
      </x:c>
      <x:c r="B466" t="str">
        <x:v>2026-02-05</x:v>
      </x:c>
      <x:c r="C466" t="str">
        <x:v>V1034</x:v>
      </x:c>
      <x:c r="D466" t="str">
        <x:v>MAT2021</x:v>
      </x:c>
      <x:c r="E466" t="n">
        <x:v>224</x:v>
      </x:c>
      <x:c r="F466" t="n">
        <x:v>224</x:v>
      </x:c>
      <x:c r="G466" s="8" t="n">
        <x:v>1374.91</x:v>
      </x:c>
      <x:c r="H466" s="8" t="n">
        <x:v>307979.84</x:v>
      </x:c>
      <x:c r="I466" t="str">
        <x:v>2026-02-19</x:v>
      </x:c>
      <x:c r="J466" t="str">
        <x:v>2026-02-19</x:v>
      </x:c>
      <x:c r="K466" t="n">
        <x:v>0</x:v>
      </x:c>
      <x:c r="L466" t="str">
        <x:v>Complete</x:v>
      </x:c>
      <x:c r="M466" t="str">
        <x:v>Matched</x:v>
      </x:c>
    </x:row>
    <x:row r="467">
      <x:c r="A467" t="str">
        <x:v>PO500465</x:v>
      </x:c>
      <x:c r="B467" t="str">
        <x:v>2026-03-09</x:v>
      </x:c>
      <x:c r="C467" t="str">
        <x:v>V1028</x:v>
      </x:c>
      <x:c r="D467" t="str">
        <x:v>MAT2073</x:v>
      </x:c>
      <x:c r="E467" t="n">
        <x:v>342</x:v>
      </x:c>
      <x:c r="F467" t="n">
        <x:v>329</x:v>
      </x:c>
      <x:c r="G467" s="8" t="n">
        <x:v>1217.08</x:v>
      </x:c>
      <x:c r="H467" s="8" t="n">
        <x:v>416241.36</x:v>
      </x:c>
      <x:c r="I467" t="str">
        <x:v>2026-03-23</x:v>
      </x:c>
      <x:c r="J467" t="str">
        <x:v>2026-03-23</x:v>
      </x:c>
      <x:c r="K467" t="n">
        <x:v>0</x:v>
      </x:c>
      <x:c r="L467" t="str">
        <x:v>Partial</x:v>
      </x:c>
      <x:c r="M467" t="str">
        <x:v>Matched</x:v>
      </x:c>
    </x:row>
    <x:row r="468">
      <x:c r="A468" t="str">
        <x:v>PO500466</x:v>
      </x:c>
      <x:c r="B468" t="str">
        <x:v>2026-02-02</x:v>
      </x:c>
      <x:c r="C468" t="str">
        <x:v>V1018</x:v>
      </x:c>
      <x:c r="D468" t="str">
        <x:v>MAT2046</x:v>
      </x:c>
      <x:c r="E468" t="n">
        <x:v>7</x:v>
      </x:c>
      <x:c r="F468" t="n">
        <x:v>7</x:v>
      </x:c>
      <x:c r="G468" s="8" t="n">
        <x:v>1569.29</x:v>
      </x:c>
      <x:c r="H468" s="8" t="n">
        <x:v>10985.03</x:v>
      </x:c>
      <x:c r="I468" t="str">
        <x:v>2026-02-19</x:v>
      </x:c>
      <x:c r="J468" t="str">
        <x:v>2026-02-19</x:v>
      </x:c>
      <x:c r="K468" t="n">
        <x:v>0</x:v>
      </x:c>
      <x:c r="L468" t="str">
        <x:v>Complete</x:v>
      </x:c>
      <x:c r="M468" t="str">
        <x:v>Matched</x:v>
      </x:c>
    </x:row>
    <x:row r="469">
      <x:c r="A469" t="str">
        <x:v>PO500467</x:v>
      </x:c>
      <x:c r="B469" t="str">
        <x:v>2026-05-04</x:v>
      </x:c>
      <x:c r="C469" t="str">
        <x:v>V1028</x:v>
      </x:c>
      <x:c r="D469" t="str">
        <x:v>MAT2013</x:v>
      </x:c>
      <x:c r="E469" t="n">
        <x:v>188</x:v>
      </x:c>
      <x:c r="F469" t="n">
        <x:v>177</x:v>
      </x:c>
      <x:c r="G469" s="8" t="n">
        <x:v>2307.69</x:v>
      </x:c>
      <x:c r="H469" s="8" t="n">
        <x:v>433845.72</x:v>
      </x:c>
      <x:c r="I469" t="str">
        <x:v>2026-05-07</x:v>
      </x:c>
      <x:c r="J469" t="str">
        <x:v>2026-05-15</x:v>
      </x:c>
      <x:c r="K469" t="n">
        <x:v>8</x:v>
      </x:c>
      <x:c r="L469" t="str">
        <x:v>Partial</x:v>
      </x:c>
      <x:c r="M469" t="str">
        <x:v>Pending</x:v>
      </x:c>
    </x:row>
    <x:row r="470">
      <x:c r="A470" t="str">
        <x:v>PO500468</x:v>
      </x:c>
      <x:c r="B470" t="str">
        <x:v>2026-06-05</x:v>
      </x:c>
      <x:c r="C470" t="str">
        <x:v>V1013</x:v>
      </x:c>
      <x:c r="D470" t="str">
        <x:v>MAT2075</x:v>
      </x:c>
      <x:c r="E470" t="n">
        <x:v>263</x:v>
      </x:c>
      <x:c r="F470" t="n">
        <x:v>263</x:v>
      </x:c>
      <x:c r="G470" s="8" t="n">
        <x:v>480.01</x:v>
      </x:c>
      <x:c r="H470" s="8" t="n">
        <x:v>126242.63</x:v>
      </x:c>
      <x:c r="I470" t="str">
        <x:v>2026-06-22</x:v>
      </x:c>
      <x:c r="J470" t="str">
        <x:v>2026-06-23</x:v>
      </x:c>
      <x:c r="K470" t="n">
        <x:v>1</x:v>
      </x:c>
      <x:c r="L470" t="str">
        <x:v>Complete</x:v>
      </x:c>
      <x:c r="M470" t="str">
        <x:v>Mismatch</x:v>
      </x:c>
    </x:row>
    <x:row r="471">
      <x:c r="A471" t="str">
        <x:v>PO500469</x:v>
      </x:c>
      <x:c r="B471" t="str">
        <x:v>2026-06-30</x:v>
      </x:c>
      <x:c r="C471" t="str">
        <x:v>V1004</x:v>
      </x:c>
      <x:c r="D471" t="str">
        <x:v>MAT2006</x:v>
      </x:c>
      <x:c r="E471" t="n">
        <x:v>59</x:v>
      </x:c>
      <x:c r="F471" t="n">
        <x:v>56</x:v>
      </x:c>
      <x:c r="G471" s="8" t="n">
        <x:v>868.61</x:v>
      </x:c>
      <x:c r="H471" s="8" t="n">
        <x:v>51247.99</x:v>
      </x:c>
      <x:c r="I471" t="str">
        <x:v>2026-07-03</x:v>
      </x:c>
      <x:c r="J471" t="str">
        <x:v>2026-07-15</x:v>
      </x:c>
      <x:c r="K471" t="n">
        <x:v>12</x:v>
      </x:c>
      <x:c r="L471" t="str">
        <x:v>Partial</x:v>
      </x:c>
      <x:c r="M471" t="str">
        <x:v>Pending</x:v>
      </x:c>
    </x:row>
    <x:row r="472">
      <x:c r="A472" t="str">
        <x:v>PO500470</x:v>
      </x:c>
      <x:c r="B472" t="str">
        <x:v>2026-06-12</x:v>
      </x:c>
      <x:c r="C472" t="str">
        <x:v>V1025</x:v>
      </x:c>
      <x:c r="D472" t="str">
        <x:v>MAT2054</x:v>
      </x:c>
      <x:c r="E472" t="n">
        <x:v>463</x:v>
      </x:c>
      <x:c r="F472" t="n">
        <x:v>463</x:v>
      </x:c>
      <x:c r="G472" s="8" t="n">
        <x:v>419.44</x:v>
      </x:c>
      <x:c r="H472" s="8" t="n">
        <x:v>194200.72</x:v>
      </x:c>
      <x:c r="I472" t="str">
        <x:v>2026-06-19</x:v>
      </x:c>
      <x:c r="J472" t="str">
        <x:v>2026-06-19</x:v>
      </x:c>
      <x:c r="K472" t="n">
        <x:v>0</x:v>
      </x:c>
      <x:c r="L472" t="str">
        <x:v>Complete</x:v>
      </x:c>
      <x:c r="M472" t="str">
        <x:v>Matched</x:v>
      </x:c>
    </x:row>
    <x:row r="473">
      <x:c r="A473" t="str">
        <x:v>PO500471</x:v>
      </x:c>
      <x:c r="B473" t="str">
        <x:v>2026-03-01</x:v>
      </x:c>
      <x:c r="C473" t="str">
        <x:v>V1027</x:v>
      </x:c>
      <x:c r="D473" t="str">
        <x:v>MAT2034</x:v>
      </x:c>
      <x:c r="E473" t="n">
        <x:v>262</x:v>
      </x:c>
      <x:c r="F473" t="n">
        <x:v>262</x:v>
      </x:c>
      <x:c r="G473" s="8" t="n">
        <x:v>2446.71</x:v>
      </x:c>
      <x:c r="H473" s="8" t="n">
        <x:v>641038.02</x:v>
      </x:c>
      <x:c r="I473" t="str">
        <x:v>2026-03-12</x:v>
      </x:c>
      <x:c r="J473" t="str">
        <x:v>2026-03-12</x:v>
      </x:c>
      <x:c r="K473" t="n">
        <x:v>0</x:v>
      </x:c>
      <x:c r="L473" t="str">
        <x:v>Complete</x:v>
      </x:c>
      <x:c r="M473" t="str">
        <x:v>Mismatch</x:v>
      </x:c>
    </x:row>
    <x:row r="474">
      <x:c r="A474" t="str">
        <x:v>PO500472</x:v>
      </x:c>
      <x:c r="B474" t="str">
        <x:v>2026-08-13</x:v>
      </x:c>
      <x:c r="C474" t="str">
        <x:v>V1017</x:v>
      </x:c>
      <x:c r="D474" t="str">
        <x:v>MAT2047</x:v>
      </x:c>
      <x:c r="E474" t="n">
        <x:v>110</x:v>
      </x:c>
      <x:c r="F474" t="n">
        <x:v>104</x:v>
      </x:c>
      <x:c r="G474" s="8" t="n">
        <x:v>20.93</x:v>
      </x:c>
      <x:c r="H474" s="8" t="n">
        <x:v>2302.3</x:v>
      </x:c>
      <x:c r="I474" t="str">
        <x:v>2026-08-31</x:v>
      </x:c>
      <x:c r="J474" t="str">
        <x:v>2026-09-01</x:v>
      </x:c>
      <x:c r="K474" t="n">
        <x:v>1</x:v>
      </x:c>
      <x:c r="L474" t="str">
        <x:v>Partial</x:v>
      </x:c>
      <x:c r="M474" t="str">
        <x:v>Pending</x:v>
      </x:c>
    </x:row>
    <x:row r="475">
      <x:c r="A475" t="str">
        <x:v>PO500473</x:v>
      </x:c>
      <x:c r="B475" t="str">
        <x:v>2026-08-08</x:v>
      </x:c>
      <x:c r="C475" t="str">
        <x:v>V1021</x:v>
      </x:c>
      <x:c r="D475" t="str">
        <x:v>MAT2066</x:v>
      </x:c>
      <x:c r="E475" t="n">
        <x:v>268</x:v>
      </x:c>
      <x:c r="F475" t="n">
        <x:v>268</x:v>
      </x:c>
      <x:c r="G475" s="8" t="n">
        <x:v>1134.8</x:v>
      </x:c>
      <x:c r="H475" s="8" t="n">
        <x:v>304126.4</x:v>
      </x:c>
      <x:c r="I475" t="str">
        <x:v>2026-08-20</x:v>
      </x:c>
      <x:c r="J475" t="str">
        <x:v>2026-08-20</x:v>
      </x:c>
      <x:c r="K475" t="n">
        <x:v>0</x:v>
      </x:c>
      <x:c r="L475" t="str">
        <x:v>Complete</x:v>
      </x:c>
      <x:c r="M475" t="str">
        <x:v>Mismatch</x:v>
      </x:c>
    </x:row>
    <x:row r="476">
      <x:c r="A476" t="str">
        <x:v>PO500474</x:v>
      </x:c>
      <x:c r="B476" t="str">
        <x:v>2026-06-07</x:v>
      </x:c>
      <x:c r="C476" t="str">
        <x:v>V1028</x:v>
      </x:c>
      <x:c r="D476" t="str">
        <x:v>MAT2019</x:v>
      </x:c>
      <x:c r="E476" t="n">
        <x:v>454</x:v>
      </x:c>
      <x:c r="F476" t="n">
        <x:v>454</x:v>
      </x:c>
      <x:c r="G476" s="8" t="n">
        <x:v>1454.66</x:v>
      </x:c>
      <x:c r="H476" s="8" t="n">
        <x:v>660415.64</x:v>
      </x:c>
      <x:c r="I476" t="str">
        <x:v>2026-06-24</x:v>
      </x:c>
      <x:c r="J476" t="str">
        <x:v>2026-06-27</x:v>
      </x:c>
      <x:c r="K476" t="n">
        <x:v>3</x:v>
      </x:c>
      <x:c r="L476" t="str">
        <x:v>Complete</x:v>
      </x:c>
      <x:c r="M476" t="str">
        <x:v>Matched</x:v>
      </x:c>
    </x:row>
    <x:row r="477">
      <x:c r="A477" t="str">
        <x:v>PO500475</x:v>
      </x:c>
      <x:c r="B477" t="str">
        <x:v>2026-05-02</x:v>
      </x:c>
      <x:c r="C477" t="str">
        <x:v>V1007</x:v>
      </x:c>
      <x:c r="D477" t="str">
        <x:v>MAT2074</x:v>
      </x:c>
      <x:c r="E477" t="n">
        <x:v>249</x:v>
      </x:c>
      <x:c r="F477" t="n">
        <x:v>249</x:v>
      </x:c>
      <x:c r="G477" s="8" t="n">
        <x:v>1565.25</x:v>
      </x:c>
      <x:c r="H477" s="8" t="n">
        <x:v>389747.25</x:v>
      </x:c>
      <x:c r="I477" t="str">
        <x:v>2026-05-14</x:v>
      </x:c>
      <x:c r="J477" t="str">
        <x:v>2026-05-14</x:v>
      </x:c>
      <x:c r="K477" t="n">
        <x:v>0</x:v>
      </x:c>
      <x:c r="L477" t="str">
        <x:v>Complete</x:v>
      </x:c>
      <x:c r="M477" t="str">
        <x:v>Mismatch</x:v>
      </x:c>
    </x:row>
    <x:row r="478">
      <x:c r="A478" t="str">
        <x:v>PO500476</x:v>
      </x:c>
      <x:c r="B478" t="str">
        <x:v>2026-02-06</x:v>
      </x:c>
      <x:c r="C478" t="str">
        <x:v>V1005</x:v>
      </x:c>
      <x:c r="D478" t="str">
        <x:v>MAT2041</x:v>
      </x:c>
      <x:c r="E478" t="n">
        <x:v>89</x:v>
      </x:c>
      <x:c r="F478" t="n">
        <x:v>89</x:v>
      </x:c>
      <x:c r="G478" s="8" t="n">
        <x:v>1597.2</x:v>
      </x:c>
      <x:c r="H478" s="8" t="n">
        <x:v>142150.8</x:v>
      </x:c>
      <x:c r="I478" t="str">
        <x:v>2026-02-11</x:v>
      </x:c>
      <x:c r="J478" t="str">
        <x:v>2026-02-11</x:v>
      </x:c>
      <x:c r="K478" t="n">
        <x:v>0</x:v>
      </x:c>
      <x:c r="L478" t="str">
        <x:v>Complete</x:v>
      </x:c>
      <x:c r="M478" t="str">
        <x:v>Pending</x:v>
      </x:c>
    </x:row>
    <x:row r="479">
      <x:c r="A479" t="str">
        <x:v>PO500477</x:v>
      </x:c>
      <x:c r="B479" t="str">
        <x:v>2026-04-13</x:v>
      </x:c>
      <x:c r="C479" t="str">
        <x:v>V1007</x:v>
      </x:c>
      <x:c r="D479" t="str">
        <x:v>MAT2005</x:v>
      </x:c>
      <x:c r="E479" t="n">
        <x:v>195</x:v>
      </x:c>
      <x:c r="F479" t="n">
        <x:v>181</x:v>
      </x:c>
      <x:c r="G479" s="8" t="n">
        <x:v>2341.28</x:v>
      </x:c>
      <x:c r="H479" s="8" t="n">
        <x:v>456549.6</x:v>
      </x:c>
      <x:c r="I479" t="str">
        <x:v>2026-04-22</x:v>
      </x:c>
      <x:c r="J479" t="str">
        <x:v>2026-04-22</x:v>
      </x:c>
      <x:c r="K479" t="n">
        <x:v>0</x:v>
      </x:c>
      <x:c r="L479" t="str">
        <x:v>Partial</x:v>
      </x:c>
      <x:c r="M479" t="str">
        <x:v>Matched</x:v>
      </x:c>
    </x:row>
    <x:row r="480">
      <x:c r="A480" t="str">
        <x:v>PO500478</x:v>
      </x:c>
      <x:c r="B480" t="str">
        <x:v>2026-07-19</x:v>
      </x:c>
      <x:c r="C480" t="str">
        <x:v>V1021</x:v>
      </x:c>
      <x:c r="D480" t="str">
        <x:v>MAT2036</x:v>
      </x:c>
      <x:c r="E480" t="n">
        <x:v>313</x:v>
      </x:c>
      <x:c r="F480" t="n">
        <x:v>313</x:v>
      </x:c>
      <x:c r="G480" s="8" t="n">
        <x:v>712.48</x:v>
      </x:c>
      <x:c r="H480" s="8" t="n">
        <x:v>223006.24</x:v>
      </x:c>
      <x:c r="I480" t="str">
        <x:v>2026-08-01</x:v>
      </x:c>
      <x:c r="J480" t="str">
        <x:v>2026-08-02</x:v>
      </x:c>
      <x:c r="K480" t="n">
        <x:v>1</x:v>
      </x:c>
      <x:c r="L480" t="str">
        <x:v>Complete</x:v>
      </x:c>
      <x:c r="M480" t="str">
        <x:v>Matched</x:v>
      </x:c>
    </x:row>
    <x:row r="481">
      <x:c r="A481" t="str">
        <x:v>PO500479</x:v>
      </x:c>
      <x:c r="B481" t="str">
        <x:v>2026-04-20</x:v>
      </x:c>
      <x:c r="C481" t="str">
        <x:v>V1000</x:v>
      </x:c>
      <x:c r="D481" t="str">
        <x:v>MAT2020</x:v>
      </x:c>
      <x:c r="E481" t="n">
        <x:v>46</x:v>
      </x:c>
      <x:c r="F481" t="n">
        <x:v>46</x:v>
      </x:c>
      <x:c r="G481" s="8" t="n">
        <x:v>1011.7</x:v>
      </x:c>
      <x:c r="H481" s="8" t="n">
        <x:v>46538.2</x:v>
      </x:c>
      <x:c r="I481" t="str">
        <x:v>2026-04-28</x:v>
      </x:c>
      <x:c r="J481" t="str">
        <x:v>2026-04-28</x:v>
      </x:c>
      <x:c r="K481" t="n">
        <x:v>0</x:v>
      </x:c>
      <x:c r="L481" t="str">
        <x:v>Complete</x:v>
      </x:c>
      <x:c r="M481" t="str">
        <x:v>Mismatch</x:v>
      </x:c>
    </x:row>
    <x:row r="482">
      <x:c r="A482" t="str">
        <x:v>PO500480</x:v>
      </x:c>
      <x:c r="B482" t="str">
        <x:v>2026-08-13</x:v>
      </x:c>
      <x:c r="C482" t="str">
        <x:v>V1004</x:v>
      </x:c>
      <x:c r="D482" t="str">
        <x:v>MAT2072</x:v>
      </x:c>
      <x:c r="E482" t="n">
        <x:v>346</x:v>
      </x:c>
      <x:c r="F482" t="n">
        <x:v>343</x:v>
      </x:c>
      <x:c r="G482" s="8" t="n">
        <x:v>437.03</x:v>
      </x:c>
      <x:c r="H482" s="8" t="n">
        <x:v>151212.38</x:v>
      </x:c>
      <x:c r="I482" t="str">
        <x:v>2026-08-19</x:v>
      </x:c>
      <x:c r="J482" t="str">
        <x:v>2026-08-22</x:v>
      </x:c>
      <x:c r="K482" t="n">
        <x:v>3</x:v>
      </x:c>
      <x:c r="L482" t="str">
        <x:v>Partial</x:v>
      </x:c>
      <x:c r="M482" t="str">
        <x:v>Pending</x:v>
      </x:c>
    </x:row>
    <x:row r="483">
      <x:c r="A483" t="str">
        <x:v>PO500481</x:v>
      </x:c>
      <x:c r="B483" t="str">
        <x:v>2026-05-04</x:v>
      </x:c>
      <x:c r="C483" t="str">
        <x:v>V1013</x:v>
      </x:c>
      <x:c r="D483" t="str">
        <x:v>MAT2042</x:v>
      </x:c>
      <x:c r="E483" t="n">
        <x:v>184</x:v>
      </x:c>
      <x:c r="F483" t="n">
        <x:v>184</x:v>
      </x:c>
      <x:c r="G483" s="8" t="n">
        <x:v>799.32</x:v>
      </x:c>
      <x:c r="H483" s="8" t="n">
        <x:v>147074.88</x:v>
      </x:c>
      <x:c r="I483" t="str">
        <x:v>2026-05-19</x:v>
      </x:c>
      <x:c r="J483" t="str">
        <x:v>2026-05-19</x:v>
      </x:c>
      <x:c r="K483" t="n">
        <x:v>0</x:v>
      </x:c>
      <x:c r="L483" t="str">
        <x:v>Complete</x:v>
      </x:c>
      <x:c r="M483" t="str">
        <x:v>Pending</x:v>
      </x:c>
    </x:row>
    <x:row r="484">
      <x:c r="A484" t="str">
        <x:v>PO500482</x:v>
      </x:c>
      <x:c r="B484" t="str">
        <x:v>2026-02-16</x:v>
      </x:c>
      <x:c r="C484" t="str">
        <x:v>V1032</x:v>
      </x:c>
      <x:c r="D484" t="str">
        <x:v>MAT2041</x:v>
      </x:c>
      <x:c r="E484" t="n">
        <x:v>222</x:v>
      </x:c>
      <x:c r="F484" t="n">
        <x:v>222</x:v>
      </x:c>
      <x:c r="G484" s="8" t="n">
        <x:v>374.66</x:v>
      </x:c>
      <x:c r="H484" s="8" t="n">
        <x:v>83174.52</x:v>
      </x:c>
      <x:c r="I484" t="str">
        <x:v>2026-03-04</x:v>
      </x:c>
      <x:c r="J484" t="str">
        <x:v>2026-03-09</x:v>
      </x:c>
      <x:c r="K484" t="n">
        <x:v>5</x:v>
      </x:c>
      <x:c r="L484" t="str">
        <x:v>Complete</x:v>
      </x:c>
      <x:c r="M484" t="str">
        <x:v>Matched</x:v>
      </x:c>
    </x:row>
    <x:row r="485">
      <x:c r="A485" t="str">
        <x:v>PO500483</x:v>
      </x:c>
      <x:c r="B485" t="str">
        <x:v>2026-07-26</x:v>
      </x:c>
      <x:c r="C485" t="str">
        <x:v>V1023</x:v>
      </x:c>
      <x:c r="D485" t="str">
        <x:v>MAT2011</x:v>
      </x:c>
      <x:c r="E485" t="n">
        <x:v>383</x:v>
      </x:c>
      <x:c r="F485" t="n">
        <x:v>383</x:v>
      </x:c>
      <x:c r="G485" s="8" t="n">
        <x:v>1551.59</x:v>
      </x:c>
      <x:c r="H485" s="8" t="n">
        <x:v>594258.97</x:v>
      </x:c>
      <x:c r="I485" t="str">
        <x:v>2026-08-15</x:v>
      </x:c>
      <x:c r="J485" t="str">
        <x:v>2026-08-15</x:v>
      </x:c>
      <x:c r="K485" t="n">
        <x:v>0</x:v>
      </x:c>
      <x:c r="L485" t="str">
        <x:v>Complete</x:v>
      </x:c>
      <x:c r="M485" t="str">
        <x:v>Matched</x:v>
      </x:c>
    </x:row>
    <x:row r="486">
      <x:c r="A486" t="str">
        <x:v>PO500484</x:v>
      </x:c>
      <x:c r="B486" t="str">
        <x:v>2026-03-22</x:v>
      </x:c>
      <x:c r="C486" t="str">
        <x:v>V1034</x:v>
      </x:c>
      <x:c r="D486" t="str">
        <x:v>MAT2070</x:v>
      </x:c>
      <x:c r="E486" t="n">
        <x:v>173</x:v>
      </x:c>
      <x:c r="F486" t="n">
        <x:v>173</x:v>
      </x:c>
      <x:c r="G486" s="8" t="n">
        <x:v>245.63</x:v>
      </x:c>
      <x:c r="H486" s="8" t="n">
        <x:v>42493.99</x:v>
      </x:c>
      <x:c r="I486" t="str">
        <x:v>2026-04-10</x:v>
      </x:c>
      <x:c r="J486" t="str">
        <x:v>2026-04-10</x:v>
      </x:c>
      <x:c r="K486" t="n">
        <x:v>0</x:v>
      </x:c>
      <x:c r="L486" t="str">
        <x:v>Complete</x:v>
      </x:c>
      <x:c r="M486" t="str">
        <x:v>Matched</x:v>
      </x:c>
    </x:row>
    <x:row r="487">
      <x:c r="A487" t="str">
        <x:v>PO500485</x:v>
      </x:c>
      <x:c r="B487" t="str">
        <x:v>2026-08-13</x:v>
      </x:c>
      <x:c r="C487" t="str">
        <x:v>V1032</x:v>
      </x:c>
      <x:c r="D487" t="str">
        <x:v>MAT2035</x:v>
      </x:c>
      <x:c r="E487" t="n">
        <x:v>413</x:v>
      </x:c>
      <x:c r="F487" t="n">
        <x:v>413</x:v>
      </x:c>
      <x:c r="G487" s="8" t="n">
        <x:v>1598.62</x:v>
      </x:c>
      <x:c r="H487" s="8" t="n">
        <x:v>660230.06</x:v>
      </x:c>
      <x:c r="I487" t="str">
        <x:v>2026-08-22</x:v>
      </x:c>
      <x:c r="J487" t="str">
        <x:v>2026-08-22</x:v>
      </x:c>
      <x:c r="K487" t="n">
        <x:v>0</x:v>
      </x:c>
      <x:c r="L487" t="str">
        <x:v>Complete</x:v>
      </x:c>
      <x:c r="M487" t="str">
        <x:v>Pending</x:v>
      </x:c>
    </x:row>
    <x:row r="488">
      <x:c r="A488" t="str">
        <x:v>PO500486</x:v>
      </x:c>
      <x:c r="B488" t="str">
        <x:v>2026-06-30</x:v>
      </x:c>
      <x:c r="C488" t="str">
        <x:v>V1014</x:v>
      </x:c>
      <x:c r="D488" t="str">
        <x:v>MAT2020</x:v>
      </x:c>
      <x:c r="E488" t="n">
        <x:v>456</x:v>
      </x:c>
      <x:c r="F488" t="n">
        <x:v>456</x:v>
      </x:c>
      <x:c r="G488" s="8" t="n">
        <x:v>1800.68</x:v>
      </x:c>
      <x:c r="H488" s="8" t="n">
        <x:v>821110.08</x:v>
      </x:c>
      <x:c r="I488" t="str">
        <x:v>2026-07-07</x:v>
      </x:c>
      <x:c r="J488" t="str">
        <x:v>2026-07-07</x:v>
      </x:c>
      <x:c r="K488" t="n">
        <x:v>0</x:v>
      </x:c>
      <x:c r="L488" t="str">
        <x:v>Complete</x:v>
      </x:c>
      <x:c r="M488" t="str">
        <x:v>Matched</x:v>
      </x:c>
    </x:row>
    <x:row r="489">
      <x:c r="A489" t="str">
        <x:v>PO500487</x:v>
      </x:c>
      <x:c r="B489" t="str">
        <x:v>2026-03-07</x:v>
      </x:c>
      <x:c r="C489" t="str">
        <x:v>V1001</x:v>
      </x:c>
      <x:c r="D489" t="str">
        <x:v>MAT2063</x:v>
      </x:c>
      <x:c r="E489" t="n">
        <x:v>474</x:v>
      </x:c>
      <x:c r="F489" t="n">
        <x:v>474</x:v>
      </x:c>
      <x:c r="G489" s="8" t="n">
        <x:v>759.91</x:v>
      </x:c>
      <x:c r="H489" s="8" t="n">
        <x:v>360197.34</x:v>
      </x:c>
      <x:c r="I489" t="str">
        <x:v>2026-03-14</x:v>
      </x:c>
      <x:c r="J489" t="str">
        <x:v>2026-03-14</x:v>
      </x:c>
      <x:c r="K489" t="n">
        <x:v>0</x:v>
      </x:c>
      <x:c r="L489" t="str">
        <x:v>Complete</x:v>
      </x:c>
      <x:c r="M489" t="str">
        <x:v>Matched</x:v>
      </x:c>
    </x:row>
    <x:row r="490">
      <x:c r="A490" t="str">
        <x:v>PO500488</x:v>
      </x:c>
      <x:c r="B490" t="str">
        <x:v>2026-08-25</x:v>
      </x:c>
      <x:c r="C490" t="str">
        <x:v>V1031</x:v>
      </x:c>
      <x:c r="D490" t="str">
        <x:v>MAT2031</x:v>
      </x:c>
      <x:c r="E490" t="n">
        <x:v>427</x:v>
      </x:c>
      <x:c r="F490" t="n">
        <x:v>427</x:v>
      </x:c>
      <x:c r="G490" s="8" t="n">
        <x:v>65.71</x:v>
      </x:c>
      <x:c r="H490" s="8" t="n">
        <x:v>28058.17</x:v>
      </x:c>
      <x:c r="I490" t="str">
        <x:v>2026-08-28</x:v>
      </x:c>
      <x:c r="J490" t="str">
        <x:v>2026-08-28</x:v>
      </x:c>
      <x:c r="K490" t="n">
        <x:v>0</x:v>
      </x:c>
      <x:c r="L490" t="str">
        <x:v>Complete</x:v>
      </x:c>
      <x:c r="M490" t="str">
        <x:v>Pending</x:v>
      </x:c>
    </x:row>
    <x:row r="491">
      <x:c r="A491" t="str">
        <x:v>PO500489</x:v>
      </x:c>
      <x:c r="B491" t="str">
        <x:v>2026-07-09</x:v>
      </x:c>
      <x:c r="C491" t="str">
        <x:v>V1012</x:v>
      </x:c>
      <x:c r="D491" t="str">
        <x:v>MAT2061</x:v>
      </x:c>
      <x:c r="E491" t="n">
        <x:v>41</x:v>
      </x:c>
      <x:c r="F491" t="n">
        <x:v>38</x:v>
      </x:c>
      <x:c r="G491" s="8" t="n">
        <x:v>638.47</x:v>
      </x:c>
      <x:c r="H491" s="8" t="n">
        <x:v>26177.27</x:v>
      </x:c>
      <x:c r="I491" t="str">
        <x:v>2026-07-17</x:v>
      </x:c>
      <x:c r="J491" t="str">
        <x:v>2026-07-19</x:v>
      </x:c>
      <x:c r="K491" t="n">
        <x:v>2</x:v>
      </x:c>
      <x:c r="L491" t="str">
        <x:v>Partial</x:v>
      </x:c>
      <x:c r="M491" t="str">
        <x:v>Matched</x:v>
      </x:c>
    </x:row>
    <x:row r="492">
      <x:c r="A492" t="str">
        <x:v>PO500490</x:v>
      </x:c>
      <x:c r="B492" t="str">
        <x:v>2026-07-07</x:v>
      </x:c>
      <x:c r="C492" t="str">
        <x:v>V1028</x:v>
      </x:c>
      <x:c r="D492" t="str">
        <x:v>MAT2039</x:v>
      </x:c>
      <x:c r="E492" t="n">
        <x:v>412</x:v>
      </x:c>
      <x:c r="F492" t="n">
        <x:v>412</x:v>
      </x:c>
      <x:c r="G492" s="8" t="n">
        <x:v>686.28</x:v>
      </x:c>
      <x:c r="H492" s="8" t="n">
        <x:v>282747.36</x:v>
      </x:c>
      <x:c r="I492" t="str">
        <x:v>2026-07-20</x:v>
      </x:c>
      <x:c r="J492" t="str">
        <x:v>2026-07-20</x:v>
      </x:c>
      <x:c r="K492" t="n">
        <x:v>0</x:v>
      </x:c>
      <x:c r="L492" t="str">
        <x:v>Complete</x:v>
      </x:c>
      <x:c r="M492" t="str">
        <x:v>Matched</x:v>
      </x:c>
    </x:row>
    <x:row r="493">
      <x:c r="A493" t="str">
        <x:v>PO500491</x:v>
      </x:c>
      <x:c r="B493" t="str">
        <x:v>2026-02-01</x:v>
      </x:c>
      <x:c r="C493" t="str">
        <x:v>V1000</x:v>
      </x:c>
      <x:c r="D493" t="str">
        <x:v>MAT2011</x:v>
      </x:c>
      <x:c r="E493" t="n">
        <x:v>246</x:v>
      </x:c>
      <x:c r="F493" t="n">
        <x:v>246</x:v>
      </x:c>
      <x:c r="G493" s="8" t="n">
        <x:v>1878.93</x:v>
      </x:c>
      <x:c r="H493" s="8" t="n">
        <x:v>462216.78</x:v>
      </x:c>
      <x:c r="I493" t="str">
        <x:v>2026-02-20</x:v>
      </x:c>
      <x:c r="J493" t="str">
        <x:v>2026-02-20</x:v>
      </x:c>
      <x:c r="K493" t="n">
        <x:v>0</x:v>
      </x:c>
      <x:c r="L493" t="str">
        <x:v>Complete</x:v>
      </x:c>
      <x:c r="M493" t="str">
        <x:v>Pending</x:v>
      </x:c>
    </x:row>
    <x:row r="494">
      <x:c r="A494" t="str">
        <x:v>PO500492</x:v>
      </x:c>
      <x:c r="B494" t="str">
        <x:v>2026-08-13</x:v>
      </x:c>
      <x:c r="C494" t="str">
        <x:v>V1002</x:v>
      </x:c>
      <x:c r="D494" t="str">
        <x:v>MAT2012</x:v>
      </x:c>
      <x:c r="E494" t="n">
        <x:v>298</x:v>
      </x:c>
      <x:c r="F494" t="n">
        <x:v>298</x:v>
      </x:c>
      <x:c r="G494" s="8" t="n">
        <x:v>2041.75</x:v>
      </x:c>
      <x:c r="H494" s="8" t="n">
        <x:v>608441.5</x:v>
      </x:c>
      <x:c r="I494" t="str">
        <x:v>2026-08-27</x:v>
      </x:c>
      <x:c r="J494" t="str">
        <x:v>2026-08-28</x:v>
      </x:c>
      <x:c r="K494" t="n">
        <x:v>1</x:v>
      </x:c>
      <x:c r="L494" t="str">
        <x:v>Complete</x:v>
      </x:c>
      <x:c r="M494" t="str">
        <x:v>Matched</x:v>
      </x:c>
    </x:row>
    <x:row r="495">
      <x:c r="A495" t="str">
        <x:v>PO500493</x:v>
      </x:c>
      <x:c r="B495" t="str">
        <x:v>2026-03-09</x:v>
      </x:c>
      <x:c r="C495" t="str">
        <x:v>V1019</x:v>
      </x:c>
      <x:c r="D495" t="str">
        <x:v>MAT2034</x:v>
      </x:c>
      <x:c r="E495" t="n">
        <x:v>90</x:v>
      </x:c>
      <x:c r="F495" t="n">
        <x:v>90</x:v>
      </x:c>
      <x:c r="G495" s="8" t="n">
        <x:v>42.56</x:v>
      </x:c>
      <x:c r="H495" s="8" t="n">
        <x:v>3830.4</x:v>
      </x:c>
      <x:c r="I495" t="str">
        <x:v>2026-03-22</x:v>
      </x:c>
      <x:c r="J495" t="str">
        <x:v>2026-03-22</x:v>
      </x:c>
      <x:c r="K495" t="n">
        <x:v>0</x:v>
      </x:c>
      <x:c r="L495" t="str">
        <x:v>Complete</x:v>
      </x:c>
      <x:c r="M495" t="str">
        <x:v>Matched</x:v>
      </x:c>
    </x:row>
    <x:row r="496">
      <x:c r="A496" t="str">
        <x:v>PO500494</x:v>
      </x:c>
      <x:c r="B496" t="str">
        <x:v>2026-02-15</x:v>
      </x:c>
      <x:c r="C496" t="str">
        <x:v>V1031</x:v>
      </x:c>
      <x:c r="D496" t="str">
        <x:v>MAT2050</x:v>
      </x:c>
      <x:c r="E496" t="n">
        <x:v>121</x:v>
      </x:c>
      <x:c r="F496" t="n">
        <x:v>121</x:v>
      </x:c>
      <x:c r="G496" s="8" t="n">
        <x:v>738.91</x:v>
      </x:c>
      <x:c r="H496" s="8" t="n">
        <x:v>89408.11</x:v>
      </x:c>
      <x:c r="I496" t="str">
        <x:v>2026-02-23</x:v>
      </x:c>
      <x:c r="J496" t="str">
        <x:v>2026-02-23</x:v>
      </x:c>
      <x:c r="K496" t="n">
        <x:v>0</x:v>
      </x:c>
      <x:c r="L496" t="str">
        <x:v>Complete</x:v>
      </x:c>
      <x:c r="M496" t="str">
        <x:v>Matched</x:v>
      </x:c>
    </x:row>
    <x:row r="497">
      <x:c r="A497" t="str">
        <x:v>PO500495</x:v>
      </x:c>
      <x:c r="B497" t="str">
        <x:v>2026-03-22</x:v>
      </x:c>
      <x:c r="C497" t="str">
        <x:v>V1016</x:v>
      </x:c>
      <x:c r="D497" t="str">
        <x:v>MAT2055</x:v>
      </x:c>
      <x:c r="E497" t="n">
        <x:v>461</x:v>
      </x:c>
      <x:c r="F497" t="n">
        <x:v>461</x:v>
      </x:c>
      <x:c r="G497" s="8" t="n">
        <x:v>454.01</x:v>
      </x:c>
      <x:c r="H497" s="8" t="n">
        <x:v>209298.61</x:v>
      </x:c>
      <x:c r="I497" t="str">
        <x:v>2026-04-06</x:v>
      </x:c>
      <x:c r="J497" t="str">
        <x:v>2026-04-06</x:v>
      </x:c>
      <x:c r="K497" t="n">
        <x:v>0</x:v>
      </x:c>
      <x:c r="L497" t="str">
        <x:v>Complete</x:v>
      </x:c>
      <x:c r="M497" t="str">
        <x:v>Matched</x:v>
      </x:c>
    </x:row>
    <x:row r="498">
      <x:c r="A498" t="str">
        <x:v>PO500496</x:v>
      </x:c>
      <x:c r="B498" t="str">
        <x:v>2026-07-26</x:v>
      </x:c>
      <x:c r="C498" t="str">
        <x:v>V1031</x:v>
      </x:c>
      <x:c r="D498" t="str">
        <x:v>MAT2063</x:v>
      </x:c>
      <x:c r="E498" t="n">
        <x:v>217</x:v>
      </x:c>
      <x:c r="F498" t="n">
        <x:v>217</x:v>
      </x:c>
      <x:c r="G498" s="8" t="n">
        <x:v>1441.86</x:v>
      </x:c>
      <x:c r="H498" s="8" t="n">
        <x:v>312883.62</x:v>
      </x:c>
      <x:c r="I498" t="str">
        <x:v>2026-07-31</x:v>
      </x:c>
      <x:c r="J498" t="str">
        <x:v>2026-08-05</x:v>
      </x:c>
      <x:c r="K498" t="n">
        <x:v>5</x:v>
      </x:c>
      <x:c r="L498" t="str">
        <x:v>Complete</x:v>
      </x:c>
      <x:c r="M498" t="str">
        <x:v>Pending</x:v>
      </x:c>
    </x:row>
    <x:row r="499">
      <x:c r="A499" t="str">
        <x:v>PO500497</x:v>
      </x:c>
      <x:c r="B499" t="str">
        <x:v>2026-06-30</x:v>
      </x:c>
      <x:c r="C499" t="str">
        <x:v>V1020</x:v>
      </x:c>
      <x:c r="D499" t="str">
        <x:v>MAT2004</x:v>
      </x:c>
      <x:c r="E499" t="n">
        <x:v>282</x:v>
      </x:c>
      <x:c r="F499" t="n">
        <x:v>282</x:v>
      </x:c>
      <x:c r="G499" s="8" t="n">
        <x:v>41.13</x:v>
      </x:c>
      <x:c r="H499" s="8" t="n">
        <x:v>11598.66</x:v>
      </x:c>
      <x:c r="I499" t="str">
        <x:v>2026-07-11</x:v>
      </x:c>
      <x:c r="J499" t="str">
        <x:v>2026-07-11</x:v>
      </x:c>
      <x:c r="K499" t="n">
        <x:v>0</x:v>
      </x:c>
      <x:c r="L499" t="str">
        <x:v>Complete</x:v>
      </x:c>
      <x:c r="M499" t="str">
        <x:v>Matched</x:v>
      </x:c>
    </x:row>
    <x:row r="500">
      <x:c r="A500" t="str">
        <x:v>PO500498</x:v>
      </x:c>
      <x:c r="B500" t="str">
        <x:v>2026-07-28</x:v>
      </x:c>
      <x:c r="C500" t="str">
        <x:v>V1002</x:v>
      </x:c>
      <x:c r="D500" t="str">
        <x:v>MAT2019</x:v>
      </x:c>
      <x:c r="E500" t="n">
        <x:v>112</x:v>
      </x:c>
      <x:c r="F500" t="n">
        <x:v>111</x:v>
      </x:c>
      <x:c r="G500" s="8" t="n">
        <x:v>2322.31</x:v>
      </x:c>
      <x:c r="H500" s="8" t="n">
        <x:v>260098.72</x:v>
      </x:c>
      <x:c r="I500" t="str">
        <x:v>2026-08-15</x:v>
      </x:c>
      <x:c r="J500" t="str">
        <x:v>2026-08-16</x:v>
      </x:c>
      <x:c r="K500" t="n">
        <x:v>1</x:v>
      </x:c>
      <x:c r="L500" t="str">
        <x:v>Partial</x:v>
      </x:c>
      <x:c r="M500" t="str">
        <x:v>Pending</x:v>
      </x:c>
    </x:row>
    <x:row r="501">
      <x:c r="A501" t="str">
        <x:v>PO500499</x:v>
      </x:c>
      <x:c r="B501" t="str">
        <x:v>2026-03-04</x:v>
      </x:c>
      <x:c r="C501" t="str">
        <x:v>V1013</x:v>
      </x:c>
      <x:c r="D501" t="str">
        <x:v>MAT2050</x:v>
      </x:c>
      <x:c r="E501" t="n">
        <x:v>49</x:v>
      </x:c>
      <x:c r="F501" t="n">
        <x:v>49</x:v>
      </x:c>
      <x:c r="G501" s="8" t="n">
        <x:v>1306.69</x:v>
      </x:c>
      <x:c r="H501" s="8" t="n">
        <x:v>64027.81</x:v>
      </x:c>
      <x:c r="I501" t="str">
        <x:v>2026-03-21</x:v>
      </x:c>
      <x:c r="J501" t="str">
        <x:v>2026-03-21</x:v>
      </x:c>
      <x:c r="K501" t="n">
        <x:v>0</x:v>
      </x:c>
      <x:c r="L501" t="str">
        <x:v>Complete</x:v>
      </x:c>
      <x:c r="M501" t="str">
        <x:v>Matched</x:v>
      </x:c>
    </x:row>
    <x:row r="502">
      <x:c r="A502" t="str">
        <x:v>PO500500</x:v>
      </x:c>
      <x:c r="B502" t="str">
        <x:v>2026-07-03</x:v>
      </x:c>
      <x:c r="C502" t="str">
        <x:v>V1010</x:v>
      </x:c>
      <x:c r="D502" t="str">
        <x:v>MAT2006</x:v>
      </x:c>
      <x:c r="E502" t="n">
        <x:v>187</x:v>
      </x:c>
      <x:c r="F502" t="n">
        <x:v>187</x:v>
      </x:c>
      <x:c r="G502" s="8" t="n">
        <x:v>401.31</x:v>
      </x:c>
      <x:c r="H502" s="8" t="n">
        <x:v>75044.97</x:v>
      </x:c>
      <x:c r="I502" t="str">
        <x:v>2026-07-14</x:v>
      </x:c>
      <x:c r="J502" t="str">
        <x:v>2026-07-14</x:v>
      </x:c>
      <x:c r="K502" t="n">
        <x:v>0</x:v>
      </x:c>
      <x:c r="L502" t="str">
        <x:v>Complete</x:v>
      </x:c>
      <x:c r="M502" t="str">
        <x:v>Matched</x:v>
      </x:c>
    </x:row>
    <x:row r="503">
      <x:c r="A503" t="str">
        <x:v>PO500501</x:v>
      </x:c>
      <x:c r="B503" t="str">
        <x:v>2026-02-24</x:v>
      </x:c>
      <x:c r="C503" t="str">
        <x:v>V1030</x:v>
      </x:c>
      <x:c r="D503" t="str">
        <x:v>MAT2078</x:v>
      </x:c>
      <x:c r="E503" t="n">
        <x:v>446</x:v>
      </x:c>
      <x:c r="F503" t="n">
        <x:v>446</x:v>
      </x:c>
      <x:c r="G503" s="8" t="n">
        <x:v>230.8</x:v>
      </x:c>
      <x:c r="H503" s="8" t="n">
        <x:v>102936.8</x:v>
      </x:c>
      <x:c r="I503" t="str">
        <x:v>2026-03-01</x:v>
      </x:c>
      <x:c r="J503" t="str">
        <x:v>2026-03-01</x:v>
      </x:c>
      <x:c r="K503" t="n">
        <x:v>0</x:v>
      </x:c>
      <x:c r="L503" t="str">
        <x:v>Complete</x:v>
      </x:c>
      <x:c r="M503" t="str">
        <x:v>Matched</x:v>
      </x:c>
    </x:row>
    <x:row r="504">
      <x:c r="A504" t="str">
        <x:v>PO500502</x:v>
      </x:c>
      <x:c r="B504" t="str">
        <x:v>2026-03-08</x:v>
      </x:c>
      <x:c r="C504" t="str">
        <x:v>V1027</x:v>
      </x:c>
      <x:c r="D504" t="str">
        <x:v>MAT2073</x:v>
      </x:c>
      <x:c r="E504" t="n">
        <x:v>236</x:v>
      </x:c>
      <x:c r="F504" t="n">
        <x:v>214</x:v>
      </x:c>
      <x:c r="G504" s="8" t="n">
        <x:v>442.82</x:v>
      </x:c>
      <x:c r="H504" s="8" t="n">
        <x:v>104505.52</x:v>
      </x:c>
      <x:c r="I504" t="str">
        <x:v>2026-03-27</x:v>
      </x:c>
      <x:c r="J504" t="str">
        <x:v>2026-03-27</x:v>
      </x:c>
      <x:c r="K504" t="n">
        <x:v>0</x:v>
      </x:c>
      <x:c r="L504" t="str">
        <x:v>Partial</x:v>
      </x:c>
      <x:c r="M504" t="str">
        <x:v>Matched</x:v>
      </x:c>
    </x:row>
    <x:row r="505">
      <x:c r="A505" t="str">
        <x:v>PO500503</x:v>
      </x:c>
      <x:c r="B505" t="str">
        <x:v>2026-04-09</x:v>
      </x:c>
      <x:c r="C505" t="str">
        <x:v>V1022</x:v>
      </x:c>
      <x:c r="D505" t="str">
        <x:v>MAT2034</x:v>
      </x:c>
      <x:c r="E505" t="n">
        <x:v>423</x:v>
      </x:c>
      <x:c r="F505" t="n">
        <x:v>423</x:v>
      </x:c>
      <x:c r="G505" s="8" t="n">
        <x:v>1889.1</x:v>
      </x:c>
      <x:c r="H505" s="8" t="n">
        <x:v>799089.3</x:v>
      </x:c>
      <x:c r="I505" t="str">
        <x:v>2026-04-15</x:v>
      </x:c>
      <x:c r="J505" t="str">
        <x:v>2026-04-15</x:v>
      </x:c>
      <x:c r="K505" t="n">
        <x:v>0</x:v>
      </x:c>
      <x:c r="L505" t="str">
        <x:v>Complete</x:v>
      </x:c>
      <x:c r="M505" t="str">
        <x:v>Pending</x:v>
      </x:c>
    </x:row>
    <x:row r="506">
      <x:c r="A506" t="str">
        <x:v>PO500504</x:v>
      </x:c>
      <x:c r="B506" t="str">
        <x:v>2026-04-30</x:v>
      </x:c>
      <x:c r="C506" t="str">
        <x:v>V1029</x:v>
      </x:c>
      <x:c r="D506" t="str">
        <x:v>MAT2022</x:v>
      </x:c>
      <x:c r="E506" t="n">
        <x:v>467</x:v>
      </x:c>
      <x:c r="F506" t="n">
        <x:v>467</x:v>
      </x:c>
      <x:c r="G506" s="8" t="n">
        <x:v>2189.2</x:v>
      </x:c>
      <x:c r="H506" s="8" t="n">
        <x:v>1022356.4</x:v>
      </x:c>
      <x:c r="I506" t="str">
        <x:v>2026-05-19</x:v>
      </x:c>
      <x:c r="J506" t="str">
        <x:v>2026-05-22</x:v>
      </x:c>
      <x:c r="K506" t="n">
        <x:v>3</x:v>
      </x:c>
      <x:c r="L506" t="str">
        <x:v>Complete</x:v>
      </x:c>
      <x:c r="M506" t="str">
        <x:v>Matched</x:v>
      </x:c>
    </x:row>
    <x:row r="507">
      <x:c r="A507" t="str">
        <x:v>PO500505</x:v>
      </x:c>
      <x:c r="B507" t="str">
        <x:v>2026-04-23</x:v>
      </x:c>
      <x:c r="C507" t="str">
        <x:v>V1015</x:v>
      </x:c>
      <x:c r="D507" t="str">
        <x:v>MAT2079</x:v>
      </x:c>
      <x:c r="E507" t="n">
        <x:v>105</x:v>
      </x:c>
      <x:c r="F507" t="n">
        <x:v>105</x:v>
      </x:c>
      <x:c r="G507" s="8" t="n">
        <x:v>1832.34</x:v>
      </x:c>
      <x:c r="H507" s="8" t="n">
        <x:v>192395.7</x:v>
      </x:c>
      <x:c r="I507" t="str">
        <x:v>2026-05-06</x:v>
      </x:c>
      <x:c r="J507" t="str">
        <x:v>2026-05-09</x:v>
      </x:c>
      <x:c r="K507" t="n">
        <x:v>3</x:v>
      </x:c>
      <x:c r="L507" t="str">
        <x:v>Complete</x:v>
      </x:c>
      <x:c r="M507" t="str">
        <x:v>Matched</x:v>
      </x:c>
    </x:row>
    <x:row r="508">
      <x:c r="A508" t="str">
        <x:v>PO500506</x:v>
      </x:c>
      <x:c r="B508" t="str">
        <x:v>2026-04-06</x:v>
      </x:c>
      <x:c r="C508" t="str">
        <x:v>V1003</x:v>
      </x:c>
      <x:c r="D508" t="str">
        <x:v>MAT2012</x:v>
      </x:c>
      <x:c r="E508" t="n">
        <x:v>330</x:v>
      </x:c>
      <x:c r="F508" t="n">
        <x:v>330</x:v>
      </x:c>
      <x:c r="G508" s="8" t="n">
        <x:v>1564.87</x:v>
      </x:c>
      <x:c r="H508" s="8" t="n">
        <x:v>516407.1</x:v>
      </x:c>
      <x:c r="I508" t="str">
        <x:v>2026-04-13</x:v>
      </x:c>
      <x:c r="J508" t="str">
        <x:v>2026-04-13</x:v>
      </x:c>
      <x:c r="K508" t="n">
        <x:v>0</x:v>
      </x:c>
      <x:c r="L508" t="str">
        <x:v>Complete</x:v>
      </x:c>
      <x:c r="M508" t="str">
        <x:v>Matched</x:v>
      </x:c>
    </x:row>
    <x:row r="509">
      <x:c r="A509" t="str">
        <x:v>PO500507</x:v>
      </x:c>
      <x:c r="B509" t="str">
        <x:v>2026-05-06</x:v>
      </x:c>
      <x:c r="C509" t="str">
        <x:v>V1013</x:v>
      </x:c>
      <x:c r="D509" t="str">
        <x:v>MAT2049</x:v>
      </x:c>
      <x:c r="E509" t="n">
        <x:v>29</x:v>
      </x:c>
      <x:c r="F509" t="n">
        <x:v>28</x:v>
      </x:c>
      <x:c r="G509" s="8" t="n">
        <x:v>1486.14</x:v>
      </x:c>
      <x:c r="H509" s="8" t="n">
        <x:v>43098.06</x:v>
      </x:c>
      <x:c r="I509" t="str">
        <x:v>2026-05-19</x:v>
      </x:c>
      <x:c r="J509" t="str">
        <x:v>2026-05-21</x:v>
      </x:c>
      <x:c r="K509" t="n">
        <x:v>2</x:v>
      </x:c>
      <x:c r="L509" t="str">
        <x:v>Partial</x:v>
      </x:c>
      <x:c r="M509" t="str">
        <x:v>Matched</x:v>
      </x:c>
    </x:row>
    <x:row r="510">
      <x:c r="A510" t="str">
        <x:v>PO500508</x:v>
      </x:c>
      <x:c r="B510" t="str">
        <x:v>2026-03-11</x:v>
      </x:c>
      <x:c r="C510" t="str">
        <x:v>V1028</x:v>
      </x:c>
      <x:c r="D510" t="str">
        <x:v>MAT2046</x:v>
      </x:c>
      <x:c r="E510" t="n">
        <x:v>181</x:v>
      </x:c>
      <x:c r="F510" t="n">
        <x:v>181</x:v>
      </x:c>
      <x:c r="G510" s="8" t="n">
        <x:v>1705.46</x:v>
      </x:c>
      <x:c r="H510" s="8" t="n">
        <x:v>308688.26</x:v>
      </x:c>
      <x:c r="I510" t="str">
        <x:v>2026-03-16</x:v>
      </x:c>
      <x:c r="J510" t="str">
        <x:v>2026-03-16</x:v>
      </x:c>
      <x:c r="K510" t="n">
        <x:v>0</x:v>
      </x:c>
      <x:c r="L510" t="str">
        <x:v>Complete</x:v>
      </x:c>
      <x:c r="M510" t="str">
        <x:v>Matched</x:v>
      </x:c>
    </x:row>
    <x:row r="511">
      <x:c r="A511" t="str">
        <x:v>PO500509</x:v>
      </x:c>
      <x:c r="B511" t="str">
        <x:v>2026-07-10</x:v>
      </x:c>
      <x:c r="C511" t="str">
        <x:v>V1020</x:v>
      </x:c>
      <x:c r="D511" t="str">
        <x:v>MAT2014</x:v>
      </x:c>
      <x:c r="E511" t="n">
        <x:v>78</x:v>
      </x:c>
      <x:c r="F511" t="n">
        <x:v>78</x:v>
      </x:c>
      <x:c r="G511" s="8" t="n">
        <x:v>139.19</x:v>
      </x:c>
      <x:c r="H511" s="8" t="n">
        <x:v>10856.82</x:v>
      </x:c>
      <x:c r="I511" t="str">
        <x:v>2026-07-27</x:v>
      </x:c>
      <x:c r="J511" t="str">
        <x:v>2026-07-27</x:v>
      </x:c>
      <x:c r="K511" t="n">
        <x:v>0</x:v>
      </x:c>
      <x:c r="L511" t="str">
        <x:v>Complete</x:v>
      </x:c>
      <x:c r="M511" t="str">
        <x:v>Pending</x:v>
      </x:c>
    </x:row>
    <x:row r="512">
      <x:c r="A512" t="str">
        <x:v>PO500510</x:v>
      </x:c>
      <x:c r="B512" t="str">
        <x:v>2026-05-06</x:v>
      </x:c>
      <x:c r="C512" t="str">
        <x:v>V1005</x:v>
      </x:c>
      <x:c r="D512" t="str">
        <x:v>MAT2076</x:v>
      </x:c>
      <x:c r="E512" t="n">
        <x:v>369</x:v>
      </x:c>
      <x:c r="F512" t="n">
        <x:v>353</x:v>
      </x:c>
      <x:c r="G512" s="8" t="n">
        <x:v>640.18</x:v>
      </x:c>
      <x:c r="H512" s="8" t="n">
        <x:v>236226.42</x:v>
      </x:c>
      <x:c r="I512" t="str">
        <x:v>2026-05-16</x:v>
      </x:c>
      <x:c r="J512" t="str">
        <x:v>2026-05-17</x:v>
      </x:c>
      <x:c r="K512" t="n">
        <x:v>1</x:v>
      </x:c>
      <x:c r="L512" t="str">
        <x:v>Partial</x:v>
      </x:c>
      <x:c r="M512" t="str">
        <x:v>Matched</x:v>
      </x:c>
    </x:row>
    <x:row r="513">
      <x:c r="A513" t="str">
        <x:v>PO500511</x:v>
      </x:c>
      <x:c r="B513" t="str">
        <x:v>2026-07-22</x:v>
      </x:c>
      <x:c r="C513" t="str">
        <x:v>V1031</x:v>
      </x:c>
      <x:c r="D513" t="str">
        <x:v>MAT2008</x:v>
      </x:c>
      <x:c r="E513" t="n">
        <x:v>402</x:v>
      </x:c>
      <x:c r="F513" t="n">
        <x:v>402</x:v>
      </x:c>
      <x:c r="G513" s="8" t="n">
        <x:v>2395.21</x:v>
      </x:c>
      <x:c r="H513" s="8" t="n">
        <x:v>962874.42</x:v>
      </x:c>
      <x:c r="I513" t="str">
        <x:v>2026-08-09</x:v>
      </x:c>
      <x:c r="J513" t="str">
        <x:v>2026-08-09</x:v>
      </x:c>
      <x:c r="K513" t="n">
        <x:v>0</x:v>
      </x:c>
      <x:c r="L513" t="str">
        <x:v>Complete</x:v>
      </x:c>
      <x:c r="M513" t="str">
        <x:v>Matched</x:v>
      </x:c>
    </x:row>
    <x:row r="514">
      <x:c r="A514" t="str">
        <x:v>PO500512</x:v>
      </x:c>
      <x:c r="B514" t="str">
        <x:v>2026-04-16</x:v>
      </x:c>
      <x:c r="C514" t="str">
        <x:v>V1021</x:v>
      </x:c>
      <x:c r="D514" t="str">
        <x:v>MAT2036</x:v>
      </x:c>
      <x:c r="E514" t="n">
        <x:v>131</x:v>
      </x:c>
      <x:c r="F514" t="n">
        <x:v>131</x:v>
      </x:c>
      <x:c r="G514" s="8" t="n">
        <x:v>2145</x:v>
      </x:c>
      <x:c r="H514" s="8" t="n">
        <x:v>280995</x:v>
      </x:c>
      <x:c r="I514" t="str">
        <x:v>2026-04-28</x:v>
      </x:c>
      <x:c r="J514" t="str">
        <x:v>2026-04-28</x:v>
      </x:c>
      <x:c r="K514" t="n">
        <x:v>0</x:v>
      </x:c>
      <x:c r="L514" t="str">
        <x:v>Complete</x:v>
      </x:c>
      <x:c r="M514" t="str">
        <x:v>Pending</x:v>
      </x:c>
    </x:row>
    <x:row r="515">
      <x:c r="A515" t="str">
        <x:v>PO500513</x:v>
      </x:c>
      <x:c r="B515" t="str">
        <x:v>2026-07-15</x:v>
      </x:c>
      <x:c r="C515" t="str">
        <x:v>V1031</x:v>
      </x:c>
      <x:c r="D515" t="str">
        <x:v>MAT2024</x:v>
      </x:c>
      <x:c r="E515" t="n">
        <x:v>215</x:v>
      </x:c>
      <x:c r="F515" t="n">
        <x:v>215</x:v>
      </x:c>
      <x:c r="G515" s="8" t="n">
        <x:v>829.05</x:v>
      </x:c>
      <x:c r="H515" s="8" t="n">
        <x:v>178245.75</x:v>
      </x:c>
      <x:c r="I515" t="str">
        <x:v>2026-07-25</x:v>
      </x:c>
      <x:c r="J515" t="str">
        <x:v>2026-07-25</x:v>
      </x:c>
      <x:c r="K515" t="n">
        <x:v>0</x:v>
      </x:c>
      <x:c r="L515" t="str">
        <x:v>Complete</x:v>
      </x:c>
      <x:c r="M515" t="str">
        <x:v>Matched</x:v>
      </x:c>
    </x:row>
    <x:row r="516">
      <x:c r="A516" t="str">
        <x:v>PO500514</x:v>
      </x:c>
      <x:c r="B516" t="str">
        <x:v>2026-05-09</x:v>
      </x:c>
      <x:c r="C516" t="str">
        <x:v>V1012</x:v>
      </x:c>
      <x:c r="D516" t="str">
        <x:v>MAT2023</x:v>
      </x:c>
      <x:c r="E516" t="n">
        <x:v>300</x:v>
      </x:c>
      <x:c r="F516" t="n">
        <x:v>300</x:v>
      </x:c>
      <x:c r="G516" s="8" t="n">
        <x:v>426.7</x:v>
      </x:c>
      <x:c r="H516" s="8" t="n">
        <x:v>128010</x:v>
      </x:c>
      <x:c r="I516" t="str">
        <x:v>2026-05-16</x:v>
      </x:c>
      <x:c r="J516" t="str">
        <x:v>2026-05-16</x:v>
      </x:c>
      <x:c r="K516" t="n">
        <x:v>0</x:v>
      </x:c>
      <x:c r="L516" t="str">
        <x:v>Complete</x:v>
      </x:c>
      <x:c r="M516" t="str">
        <x:v>Mismatch</x:v>
      </x:c>
    </x:row>
    <x:row r="517">
      <x:c r="A517" t="str">
        <x:v>PO500515</x:v>
      </x:c>
      <x:c r="B517" t="str">
        <x:v>2026-06-07</x:v>
      </x:c>
      <x:c r="C517" t="str">
        <x:v>V1025</x:v>
      </x:c>
      <x:c r="D517" t="str">
        <x:v>MAT2063</x:v>
      </x:c>
      <x:c r="E517" t="n">
        <x:v>251</x:v>
      </x:c>
      <x:c r="F517" t="n">
        <x:v>251</x:v>
      </x:c>
      <x:c r="G517" s="8" t="n">
        <x:v>2217.17</x:v>
      </x:c>
      <x:c r="H517" s="8" t="n">
        <x:v>556509.67</x:v>
      </x:c>
      <x:c r="I517" t="str">
        <x:v>2026-06-21</x:v>
      </x:c>
      <x:c r="J517" t="str">
        <x:v>2026-06-21</x:v>
      </x:c>
      <x:c r="K517" t="n">
        <x:v>0</x:v>
      </x:c>
      <x:c r="L517" t="str">
        <x:v>Complete</x:v>
      </x:c>
      <x:c r="M517" t="str">
        <x:v>Matched</x:v>
      </x:c>
    </x:row>
    <x:row r="518">
      <x:c r="A518" t="str">
        <x:v>PO500516</x:v>
      </x:c>
      <x:c r="B518" t="str">
        <x:v>2026-02-09</x:v>
      </x:c>
      <x:c r="C518" t="str">
        <x:v>V1008</x:v>
      </x:c>
      <x:c r="D518" t="str">
        <x:v>MAT2026</x:v>
      </x:c>
      <x:c r="E518" t="n">
        <x:v>146</x:v>
      </x:c>
      <x:c r="F518" t="n">
        <x:v>146</x:v>
      </x:c>
      <x:c r="G518" s="8" t="n">
        <x:v>1355.19</x:v>
      </x:c>
      <x:c r="H518" s="8" t="n">
        <x:v>197857.74</x:v>
      </x:c>
      <x:c r="I518" t="str">
        <x:v>2026-02-23</x:v>
      </x:c>
      <x:c r="J518" t="str">
        <x:v>2026-02-25</x:v>
      </x:c>
      <x:c r="K518" t="n">
        <x:v>2</x:v>
      </x:c>
      <x:c r="L518" t="str">
        <x:v>Complete</x:v>
      </x:c>
      <x:c r="M518" t="str">
        <x:v>Pending</x:v>
      </x:c>
    </x:row>
    <x:row r="519">
      <x:c r="A519" t="str">
        <x:v>PO500517</x:v>
      </x:c>
      <x:c r="B519" t="str">
        <x:v>2026-08-13</x:v>
      </x:c>
      <x:c r="C519" t="str">
        <x:v>V1021</x:v>
      </x:c>
      <x:c r="D519" t="str">
        <x:v>MAT2012</x:v>
      </x:c>
      <x:c r="E519" t="n">
        <x:v>428</x:v>
      </x:c>
      <x:c r="F519" t="n">
        <x:v>428</x:v>
      </x:c>
      <x:c r="G519" s="8" t="n">
        <x:v>2389.25</x:v>
      </x:c>
      <x:c r="H519" s="8" t="n">
        <x:v>1022599</x:v>
      </x:c>
      <x:c r="I519" t="str">
        <x:v>2026-08-17</x:v>
      </x:c>
      <x:c r="J519" t="str">
        <x:v>2026-08-17</x:v>
      </x:c>
      <x:c r="K519" t="n">
        <x:v>0</x:v>
      </x:c>
      <x:c r="L519" t="str">
        <x:v>Complete</x:v>
      </x:c>
      <x:c r="M519" t="str">
        <x:v>Pending</x:v>
      </x:c>
    </x:row>
    <x:row r="520">
      <x:c r="A520" t="str">
        <x:v>PO500518</x:v>
      </x:c>
      <x:c r="B520" t="str">
        <x:v>2026-02-28</x:v>
      </x:c>
      <x:c r="C520" t="str">
        <x:v>V1017</x:v>
      </x:c>
      <x:c r="D520" t="str">
        <x:v>MAT2029</x:v>
      </x:c>
      <x:c r="E520" t="n">
        <x:v>21</x:v>
      </x:c>
      <x:c r="F520" t="n">
        <x:v>21</x:v>
      </x:c>
      <x:c r="G520" s="8" t="n">
        <x:v>1151.69</x:v>
      </x:c>
      <x:c r="H520" s="8" t="n">
        <x:v>24185.49</x:v>
      </x:c>
      <x:c r="I520" t="str">
        <x:v>2026-03-04</x:v>
      </x:c>
      <x:c r="J520" t="str">
        <x:v>2026-03-04</x:v>
      </x:c>
      <x:c r="K520" t="n">
        <x:v>0</x:v>
      </x:c>
      <x:c r="L520" t="str">
        <x:v>Complete</x:v>
      </x:c>
      <x:c r="M520" t="str">
        <x:v>Mismatch</x:v>
      </x:c>
    </x:row>
    <x:row r="521">
      <x:c r="A521" t="str">
        <x:v>PO500519</x:v>
      </x:c>
      <x:c r="B521" t="str">
        <x:v>2026-01-14</x:v>
      </x:c>
      <x:c r="C521" t="str">
        <x:v>V1016</x:v>
      </x:c>
      <x:c r="D521" t="str">
        <x:v>MAT2040</x:v>
      </x:c>
      <x:c r="E521" t="n">
        <x:v>268</x:v>
      </x:c>
      <x:c r="F521" t="n">
        <x:v>268</x:v>
      </x:c>
      <x:c r="G521" s="8" t="n">
        <x:v>1893.15</x:v>
      </x:c>
      <x:c r="H521" s="8" t="n">
        <x:v>507364.2</x:v>
      </x:c>
      <x:c r="I521" t="str">
        <x:v>2026-02-01</x:v>
      </x:c>
      <x:c r="J521" t="str">
        <x:v>2026-02-01</x:v>
      </x:c>
      <x:c r="K521" t="n">
        <x:v>0</x:v>
      </x:c>
      <x:c r="L521" t="str">
        <x:v>Complete</x:v>
      </x:c>
      <x:c r="M521" t="str">
        <x:v>Mismatch</x:v>
      </x:c>
    </x:row>
    <x:row r="522">
      <x:c r="A522" t="str">
        <x:v>PO500520</x:v>
      </x:c>
      <x:c r="B522" t="str">
        <x:v>2026-03-19</x:v>
      </x:c>
      <x:c r="C522" t="str">
        <x:v>V1017</x:v>
      </x:c>
      <x:c r="D522" t="str">
        <x:v>MAT2017</x:v>
      </x:c>
      <x:c r="E522" t="n">
        <x:v>344</x:v>
      </x:c>
      <x:c r="F522" t="n">
        <x:v>325</x:v>
      </x:c>
      <x:c r="G522" s="8" t="n">
        <x:v>752.18</x:v>
      </x:c>
      <x:c r="H522" s="8" t="n">
        <x:v>258749.92</x:v>
      </x:c>
      <x:c r="I522" t="str">
        <x:v>2026-03-24</x:v>
      </x:c>
      <x:c r="J522" t="str">
        <x:v>2026-03-24</x:v>
      </x:c>
      <x:c r="K522" t="n">
        <x:v>0</x:v>
      </x:c>
      <x:c r="L522" t="str">
        <x:v>Partial</x:v>
      </x:c>
      <x:c r="M522" t="str">
        <x:v>Matched</x:v>
      </x:c>
    </x:row>
    <x:row r="523">
      <x:c r="A523" t="str">
        <x:v>PO500521</x:v>
      </x:c>
      <x:c r="B523" t="str">
        <x:v>2026-06-11</x:v>
      </x:c>
      <x:c r="C523" t="str">
        <x:v>V1028</x:v>
      </x:c>
      <x:c r="D523" t="str">
        <x:v>MAT2003</x:v>
      </x:c>
      <x:c r="E523" t="n">
        <x:v>15</x:v>
      </x:c>
      <x:c r="F523" t="n">
        <x:v>15</x:v>
      </x:c>
      <x:c r="G523" s="8" t="n">
        <x:v>548.77</x:v>
      </x:c>
      <x:c r="H523" s="8" t="n">
        <x:v>8231.55</x:v>
      </x:c>
      <x:c r="I523" t="str">
        <x:v>2026-06-15</x:v>
      </x:c>
      <x:c r="J523" t="str">
        <x:v>2026-06-15</x:v>
      </x:c>
      <x:c r="K523" t="n">
        <x:v>0</x:v>
      </x:c>
      <x:c r="L523" t="str">
        <x:v>Complete</x:v>
      </x:c>
      <x:c r="M523" t="str">
        <x:v>Matched</x:v>
      </x:c>
    </x:row>
    <x:row r="524">
      <x:c r="A524" t="str">
        <x:v>PO500522</x:v>
      </x:c>
      <x:c r="B524" t="str">
        <x:v>2026-03-02</x:v>
      </x:c>
      <x:c r="C524" t="str">
        <x:v>V1011</x:v>
      </x:c>
      <x:c r="D524" t="str">
        <x:v>MAT2057</x:v>
      </x:c>
      <x:c r="E524" t="n">
        <x:v>289</x:v>
      </x:c>
      <x:c r="F524" t="n">
        <x:v>289</x:v>
      </x:c>
      <x:c r="G524" s="8" t="n">
        <x:v>564.72</x:v>
      </x:c>
      <x:c r="H524" s="8" t="n">
        <x:v>163204.08</x:v>
      </x:c>
      <x:c r="I524" t="str">
        <x:v>2026-03-19</x:v>
      </x:c>
      <x:c r="J524" t="str">
        <x:v>2026-03-19</x:v>
      </x:c>
      <x:c r="K524" t="n">
        <x:v>0</x:v>
      </x:c>
      <x:c r="L524" t="str">
        <x:v>Complete</x:v>
      </x:c>
      <x:c r="M524" t="str">
        <x:v>Matched</x:v>
      </x:c>
    </x:row>
    <x:row r="525">
      <x:c r="A525" t="str">
        <x:v>PO500523</x:v>
      </x:c>
      <x:c r="B525" t="str">
        <x:v>2026-03-06</x:v>
      </x:c>
      <x:c r="C525" t="str">
        <x:v>V1014</x:v>
      </x:c>
      <x:c r="D525" t="str">
        <x:v>MAT2060</x:v>
      </x:c>
      <x:c r="E525" t="n">
        <x:v>492</x:v>
      </x:c>
      <x:c r="F525" t="n">
        <x:v>492</x:v>
      </x:c>
      <x:c r="G525" s="8" t="n">
        <x:v>798.49</x:v>
      </x:c>
      <x:c r="H525" s="8" t="n">
        <x:v>392857.08</x:v>
      </x:c>
      <x:c r="I525" t="str">
        <x:v>2026-03-10</x:v>
      </x:c>
      <x:c r="J525" t="str">
        <x:v>2026-03-10</x:v>
      </x:c>
      <x:c r="K525" t="n">
        <x:v>0</x:v>
      </x:c>
      <x:c r="L525" t="str">
        <x:v>Complete</x:v>
      </x:c>
      <x:c r="M525" t="str">
        <x:v>Matched</x:v>
      </x:c>
    </x:row>
    <x:row r="526">
      <x:c r="A526" t="str">
        <x:v>PO500524</x:v>
      </x:c>
      <x:c r="B526" t="str">
        <x:v>2026-08-26</x:v>
      </x:c>
      <x:c r="C526" t="str">
        <x:v>V1028</x:v>
      </x:c>
      <x:c r="D526" t="str">
        <x:v>MAT2033</x:v>
      </x:c>
      <x:c r="E526" t="n">
        <x:v>353</x:v>
      </x:c>
      <x:c r="F526" t="n">
        <x:v>353</x:v>
      </x:c>
      <x:c r="G526" s="8" t="n">
        <x:v>1085.46</x:v>
      </x:c>
      <x:c r="H526" s="8" t="n">
        <x:v>383167.38</x:v>
      </x:c>
      <x:c r="I526" t="str">
        <x:v>2026-09-01</x:v>
      </x:c>
      <x:c r="J526" t="str">
        <x:v>2026-09-01</x:v>
      </x:c>
      <x:c r="K526" t="n">
        <x:v>0</x:v>
      </x:c>
      <x:c r="L526" t="str">
        <x:v>Complete</x:v>
      </x:c>
      <x:c r="M526" t="str">
        <x:v>Pending</x:v>
      </x:c>
    </x:row>
    <x:row r="527">
      <x:c r="A527" t="str">
        <x:v>PO500525</x:v>
      </x:c>
      <x:c r="B527" t="str">
        <x:v>2026-07-18</x:v>
      </x:c>
      <x:c r="C527" t="str">
        <x:v>V1017</x:v>
      </x:c>
      <x:c r="D527" t="str">
        <x:v>MAT2024</x:v>
      </x:c>
      <x:c r="E527" t="n">
        <x:v>486</x:v>
      </x:c>
      <x:c r="F527" t="n">
        <x:v>486</x:v>
      </x:c>
      <x:c r="G527" s="8" t="n">
        <x:v>2401.22</x:v>
      </x:c>
      <x:c r="H527" s="8" t="n">
        <x:v>1166992.92</x:v>
      </x:c>
      <x:c r="I527" t="str">
        <x:v>2026-07-23</x:v>
      </x:c>
      <x:c r="J527" t="str">
        <x:v>2026-07-31</x:v>
      </x:c>
      <x:c r="K527" t="n">
        <x:v>8</x:v>
      </x:c>
      <x:c r="L527" t="str">
        <x:v>Complete</x:v>
      </x:c>
      <x:c r="M527" t="str">
        <x:v>Matched</x:v>
      </x:c>
    </x:row>
    <x:row r="528">
      <x:c r="A528" t="str">
        <x:v>PO500526</x:v>
      </x:c>
      <x:c r="B528" t="str">
        <x:v>2026-05-13</x:v>
      </x:c>
      <x:c r="C528" t="str">
        <x:v>V1022</x:v>
      </x:c>
      <x:c r="D528" t="str">
        <x:v>MAT2053</x:v>
      </x:c>
      <x:c r="E528" t="n">
        <x:v>434</x:v>
      </x:c>
      <x:c r="F528" t="n">
        <x:v>434</x:v>
      </x:c>
      <x:c r="G528" s="8" t="n">
        <x:v>856.37</x:v>
      </x:c>
      <x:c r="H528" s="8" t="n">
        <x:v>371664.58</x:v>
      </x:c>
      <x:c r="I528" t="str">
        <x:v>2026-05-27</x:v>
      </x:c>
      <x:c r="J528" t="str">
        <x:v>2026-05-27</x:v>
      </x:c>
      <x:c r="K528" t="n">
        <x:v>0</x:v>
      </x:c>
      <x:c r="L528" t="str">
        <x:v>Complete</x:v>
      </x:c>
      <x:c r="M528" t="str">
        <x:v>Matched</x:v>
      </x:c>
    </x:row>
    <x:row r="529">
      <x:c r="A529" t="str">
        <x:v>PO500527</x:v>
      </x:c>
      <x:c r="B529" t="str">
        <x:v>2026-01-07</x:v>
      </x:c>
      <x:c r="C529" t="str">
        <x:v>V1029</x:v>
      </x:c>
      <x:c r="D529" t="str">
        <x:v>MAT2011</x:v>
      </x:c>
      <x:c r="E529" t="n">
        <x:v>155</x:v>
      </x:c>
      <x:c r="F529" t="n">
        <x:v>147</x:v>
      </x:c>
      <x:c r="G529" s="8" t="n">
        <x:v>1617.97</x:v>
      </x:c>
      <x:c r="H529" s="8" t="n">
        <x:v>250785.35</x:v>
      </x:c>
      <x:c r="I529" t="str">
        <x:v>2026-01-20</x:v>
      </x:c>
      <x:c r="J529" t="str">
        <x:v>2026-01-20</x:v>
      </x:c>
      <x:c r="K529" t="n">
        <x:v>0</x:v>
      </x:c>
      <x:c r="L529" t="str">
        <x:v>Partial</x:v>
      </x:c>
      <x:c r="M529" t="str">
        <x:v>Matched</x:v>
      </x:c>
    </x:row>
    <x:row r="530">
      <x:c r="A530" t="str">
        <x:v>PO500528</x:v>
      </x:c>
      <x:c r="B530" t="str">
        <x:v>2026-06-04</x:v>
      </x:c>
      <x:c r="C530" t="str">
        <x:v>V1007</x:v>
      </x:c>
      <x:c r="D530" t="str">
        <x:v>MAT2066</x:v>
      </x:c>
      <x:c r="E530" t="n">
        <x:v>273</x:v>
      </x:c>
      <x:c r="F530" t="n">
        <x:v>273</x:v>
      </x:c>
      <x:c r="G530" s="8" t="n">
        <x:v>1697.84</x:v>
      </x:c>
      <x:c r="H530" s="8" t="n">
        <x:v>463510.32</x:v>
      </x:c>
      <x:c r="I530" t="str">
        <x:v>2026-06-18</x:v>
      </x:c>
      <x:c r="J530" t="str">
        <x:v>2026-06-20</x:v>
      </x:c>
      <x:c r="K530" t="n">
        <x:v>2</x:v>
      </x:c>
      <x:c r="L530" t="str">
        <x:v>Complete</x:v>
      </x:c>
      <x:c r="M530" t="str">
        <x:v>Pending</x:v>
      </x:c>
    </x:row>
    <x:row r="531">
      <x:c r="A531" t="str">
        <x:v>PO500529</x:v>
      </x:c>
      <x:c r="B531" t="str">
        <x:v>2026-06-06</x:v>
      </x:c>
      <x:c r="C531" t="str">
        <x:v>V1013</x:v>
      </x:c>
      <x:c r="D531" t="str">
        <x:v>MAT2006</x:v>
      </x:c>
      <x:c r="E531" t="n">
        <x:v>59</x:v>
      </x:c>
      <x:c r="F531" t="n">
        <x:v>59</x:v>
      </x:c>
      <x:c r="G531" s="8" t="n">
        <x:v>769.27</x:v>
      </x:c>
      <x:c r="H531" s="8" t="n">
        <x:v>45386.93</x:v>
      </x:c>
      <x:c r="I531" t="str">
        <x:v>2026-06-12</x:v>
      </x:c>
      <x:c r="J531" t="str">
        <x:v>2026-06-14</x:v>
      </x:c>
      <x:c r="K531" t="n">
        <x:v>2</x:v>
      </x:c>
      <x:c r="L531" t="str">
        <x:v>Complete</x:v>
      </x:c>
      <x:c r="M531" t="str">
        <x:v>Mismatch</x:v>
      </x:c>
    </x:row>
    <x:row r="532">
      <x:c r="A532" t="str">
        <x:v>PO500530</x:v>
      </x:c>
      <x:c r="B532" t="str">
        <x:v>2026-05-20</x:v>
      </x:c>
      <x:c r="C532" t="str">
        <x:v>V1014</x:v>
      </x:c>
      <x:c r="D532" t="str">
        <x:v>MAT2035</x:v>
      </x:c>
      <x:c r="E532" t="n">
        <x:v>224</x:v>
      </x:c>
      <x:c r="F532" t="n">
        <x:v>224</x:v>
      </x:c>
      <x:c r="G532" s="8" t="n">
        <x:v>335.22</x:v>
      </x:c>
      <x:c r="H532" s="8" t="n">
        <x:v>75089.28</x:v>
      </x:c>
      <x:c r="I532" t="str">
        <x:v>2026-06-07</x:v>
      </x:c>
      <x:c r="J532" t="str">
        <x:v>2026-06-15</x:v>
      </x:c>
      <x:c r="K532" t="n">
        <x:v>8</x:v>
      </x:c>
      <x:c r="L532" t="str">
        <x:v>Complete</x:v>
      </x:c>
      <x:c r="M532" t="str">
        <x:v>Matched</x:v>
      </x:c>
    </x:row>
    <x:row r="533">
      <x:c r="A533" t="str">
        <x:v>PO500531</x:v>
      </x:c>
      <x:c r="B533" t="str">
        <x:v>2026-03-11</x:v>
      </x:c>
      <x:c r="C533" t="str">
        <x:v>V1013</x:v>
      </x:c>
      <x:c r="D533" t="str">
        <x:v>MAT2033</x:v>
      </x:c>
      <x:c r="E533" t="n">
        <x:v>128</x:v>
      </x:c>
      <x:c r="F533" t="n">
        <x:v>128</x:v>
      </x:c>
      <x:c r="G533" s="8" t="n">
        <x:v>1202.18</x:v>
      </x:c>
      <x:c r="H533" s="8" t="n">
        <x:v>153879.04</x:v>
      </x:c>
      <x:c r="I533" t="str">
        <x:v>2026-03-16</x:v>
      </x:c>
      <x:c r="J533" t="str">
        <x:v>2026-03-19</x:v>
      </x:c>
      <x:c r="K533" t="n">
        <x:v>3</x:v>
      </x:c>
      <x:c r="L533" t="str">
        <x:v>Complete</x:v>
      </x:c>
      <x:c r="M533" t="str">
        <x:v>Mismatch</x:v>
      </x:c>
    </x:row>
    <x:row r="534">
      <x:c r="A534" t="str">
        <x:v>PO500532</x:v>
      </x:c>
      <x:c r="B534" t="str">
        <x:v>2026-01-06</x:v>
      </x:c>
      <x:c r="C534" t="str">
        <x:v>V1001</x:v>
      </x:c>
      <x:c r="D534" t="str">
        <x:v>MAT2006</x:v>
      </x:c>
      <x:c r="E534" t="n">
        <x:v>289</x:v>
      </x:c>
      <x:c r="F534" t="n">
        <x:v>273</x:v>
      </x:c>
      <x:c r="G534" s="8" t="n">
        <x:v>2254.42</x:v>
      </x:c>
      <x:c r="H534" s="8" t="n">
        <x:v>651527.38</x:v>
      </x:c>
      <x:c r="I534" t="str">
        <x:v>2026-01-11</x:v>
      </x:c>
      <x:c r="J534" t="str">
        <x:v>2026-01-11</x:v>
      </x:c>
      <x:c r="K534" t="n">
        <x:v>0</x:v>
      </x:c>
      <x:c r="L534" t="str">
        <x:v>Partial</x:v>
      </x:c>
      <x:c r="M534" t="str">
        <x:v>Matched</x:v>
      </x:c>
    </x:row>
    <x:row r="535">
      <x:c r="A535" t="str">
        <x:v>PO500533</x:v>
      </x:c>
      <x:c r="B535" t="str">
        <x:v>2026-07-04</x:v>
      </x:c>
      <x:c r="C535" t="str">
        <x:v>V1030</x:v>
      </x:c>
      <x:c r="D535" t="str">
        <x:v>MAT2057</x:v>
      </x:c>
      <x:c r="E535" t="n">
        <x:v>295</x:v>
      </x:c>
      <x:c r="F535" t="n">
        <x:v>277</x:v>
      </x:c>
      <x:c r="G535" s="8" t="n">
        <x:v>132.82</x:v>
      </x:c>
      <x:c r="H535" s="8" t="n">
        <x:v>39181.9</x:v>
      </x:c>
      <x:c r="I535" t="str">
        <x:v>2026-07-19</x:v>
      </x:c>
      <x:c r="J535" t="str">
        <x:v>2026-07-19</x:v>
      </x:c>
      <x:c r="K535" t="n">
        <x:v>0</x:v>
      </x:c>
      <x:c r="L535" t="str">
        <x:v>Partial</x:v>
      </x:c>
      <x:c r="M535" t="str">
        <x:v>Pending</x:v>
      </x:c>
    </x:row>
    <x:row r="536">
      <x:c r="A536" t="str">
        <x:v>PO500534</x:v>
      </x:c>
      <x:c r="B536" t="str">
        <x:v>2026-07-02</x:v>
      </x:c>
      <x:c r="C536" t="str">
        <x:v>V1026</x:v>
      </x:c>
      <x:c r="D536" t="str">
        <x:v>MAT2006</x:v>
      </x:c>
      <x:c r="E536" t="n">
        <x:v>21</x:v>
      </x:c>
      <x:c r="F536" t="n">
        <x:v>20</x:v>
      </x:c>
      <x:c r="G536" s="8" t="n">
        <x:v>917.94</x:v>
      </x:c>
      <x:c r="H536" s="8" t="n">
        <x:v>19276.74</x:v>
      </x:c>
      <x:c r="I536" t="str">
        <x:v>2026-07-19</x:v>
      </x:c>
      <x:c r="J536" t="str">
        <x:v>2026-07-19</x:v>
      </x:c>
      <x:c r="K536" t="n">
        <x:v>0</x:v>
      </x:c>
      <x:c r="L536" t="str">
        <x:v>Partial</x:v>
      </x:c>
      <x:c r="M536" t="str">
        <x:v>Pending</x:v>
      </x:c>
    </x:row>
    <x:row r="537">
      <x:c r="A537" t="str">
        <x:v>PO500535</x:v>
      </x:c>
      <x:c r="B537" t="str">
        <x:v>2026-07-15</x:v>
      </x:c>
      <x:c r="C537" t="str">
        <x:v>V1016</x:v>
      </x:c>
      <x:c r="D537" t="str">
        <x:v>MAT2068</x:v>
      </x:c>
      <x:c r="E537" t="n">
        <x:v>412</x:v>
      </x:c>
      <x:c r="F537" t="n">
        <x:v>412</x:v>
      </x:c>
      <x:c r="G537" s="8" t="n">
        <x:v>2073.23</x:v>
      </x:c>
      <x:c r="H537" s="8" t="n">
        <x:v>854170.76</x:v>
      </x:c>
      <x:c r="I537" t="str">
        <x:v>2026-07-29</x:v>
      </x:c>
      <x:c r="J537" t="str">
        <x:v>2026-07-29</x:v>
      </x:c>
      <x:c r="K537" t="n">
        <x:v>0</x:v>
      </x:c>
      <x:c r="L537" t="str">
        <x:v>Complete</x:v>
      </x:c>
      <x:c r="M537" t="str">
        <x:v>Pending</x:v>
      </x:c>
    </x:row>
    <x:row r="538">
      <x:c r="A538" t="str">
        <x:v>PO500536</x:v>
      </x:c>
      <x:c r="B538" t="str">
        <x:v>2026-05-03</x:v>
      </x:c>
      <x:c r="C538" t="str">
        <x:v>V1033</x:v>
      </x:c>
      <x:c r="D538" t="str">
        <x:v>MAT2041</x:v>
      </x:c>
      <x:c r="E538" t="n">
        <x:v>65</x:v>
      </x:c>
      <x:c r="F538" t="n">
        <x:v>65</x:v>
      </x:c>
      <x:c r="G538" s="8" t="n">
        <x:v>1345.41</x:v>
      </x:c>
      <x:c r="H538" s="8" t="n">
        <x:v>87451.65</x:v>
      </x:c>
      <x:c r="I538" t="str">
        <x:v>2026-05-19</x:v>
      </x:c>
      <x:c r="J538" t="str">
        <x:v>2026-05-19</x:v>
      </x:c>
      <x:c r="K538" t="n">
        <x:v>0</x:v>
      </x:c>
      <x:c r="L538" t="str">
        <x:v>Complete</x:v>
      </x:c>
      <x:c r="M538" t="str">
        <x:v>Matched</x:v>
      </x:c>
    </x:row>
    <x:row r="539">
      <x:c r="A539" t="str">
        <x:v>PO500537</x:v>
      </x:c>
      <x:c r="B539" t="str">
        <x:v>2026-04-14</x:v>
      </x:c>
      <x:c r="C539" t="str">
        <x:v>V1033</x:v>
      </x:c>
      <x:c r="D539" t="str">
        <x:v>MAT2050</x:v>
      </x:c>
      <x:c r="E539" t="n">
        <x:v>253</x:v>
      </x:c>
      <x:c r="F539" t="n">
        <x:v>253</x:v>
      </x:c>
      <x:c r="G539" s="8" t="n">
        <x:v>397.79</x:v>
      </x:c>
      <x:c r="H539" s="8" t="n">
        <x:v>100640.87</x:v>
      </x:c>
      <x:c r="I539" t="str">
        <x:v>2026-05-02</x:v>
      </x:c>
      <x:c r="J539" t="str">
        <x:v>2026-05-02</x:v>
      </x:c>
      <x:c r="K539" t="n">
        <x:v>0</x:v>
      </x:c>
      <x:c r="L539" t="str">
        <x:v>Complete</x:v>
      </x:c>
      <x:c r="M539" t="str">
        <x:v>Mismatch</x:v>
      </x:c>
    </x:row>
    <x:row r="540">
      <x:c r="A540" t="str">
        <x:v>PO500538</x:v>
      </x:c>
      <x:c r="B540" t="str">
        <x:v>2026-05-06</x:v>
      </x:c>
      <x:c r="C540" t="str">
        <x:v>V1017</x:v>
      </x:c>
      <x:c r="D540" t="str">
        <x:v>MAT2071</x:v>
      </x:c>
      <x:c r="E540" t="n">
        <x:v>314</x:v>
      </x:c>
      <x:c r="F540" t="n">
        <x:v>314</x:v>
      </x:c>
      <x:c r="G540" s="8" t="n">
        <x:v>2013.58</x:v>
      </x:c>
      <x:c r="H540" s="8" t="n">
        <x:v>632264.12</x:v>
      </x:c>
      <x:c r="I540" t="str">
        <x:v>2026-05-09</x:v>
      </x:c>
      <x:c r="J540" t="str">
        <x:v>2026-05-14</x:v>
      </x:c>
      <x:c r="K540" t="n">
        <x:v>5</x:v>
      </x:c>
      <x:c r="L540" t="str">
        <x:v>Complete</x:v>
      </x:c>
      <x:c r="M540" t="str">
        <x:v>Pending</x:v>
      </x:c>
    </x:row>
    <x:row r="541">
      <x:c r="A541" t="str">
        <x:v>PO500539</x:v>
      </x:c>
      <x:c r="B541" t="str">
        <x:v>2026-08-11</x:v>
      </x:c>
      <x:c r="C541" t="str">
        <x:v>V1013</x:v>
      </x:c>
      <x:c r="D541" t="str">
        <x:v>MAT2056</x:v>
      </x:c>
      <x:c r="E541" t="n">
        <x:v>229</x:v>
      </x:c>
      <x:c r="F541" t="n">
        <x:v>210</x:v>
      </x:c>
      <x:c r="G541" s="8" t="n">
        <x:v>2039.62</x:v>
      </x:c>
      <x:c r="H541" s="8" t="n">
        <x:v>467072.98</x:v>
      </x:c>
      <x:c r="I541" t="str">
        <x:v>2026-08-27</x:v>
      </x:c>
      <x:c r="J541" t="str">
        <x:v>2026-08-28</x:v>
      </x:c>
      <x:c r="K541" t="n">
        <x:v>1</x:v>
      </x:c>
      <x:c r="L541" t="str">
        <x:v>Partial</x:v>
      </x:c>
      <x:c r="M541" t="str">
        <x:v>Mismatch</x:v>
      </x:c>
    </x:row>
    <x:row r="542">
      <x:c r="A542" t="str">
        <x:v>PO500540</x:v>
      </x:c>
      <x:c r="B542" t="str">
        <x:v>2026-01-06</x:v>
      </x:c>
      <x:c r="C542" t="str">
        <x:v>V1019</x:v>
      </x:c>
      <x:c r="D542" t="str">
        <x:v>MAT2061</x:v>
      </x:c>
      <x:c r="E542" t="n">
        <x:v>296</x:v>
      </x:c>
      <x:c r="F542" t="n">
        <x:v>296</x:v>
      </x:c>
      <x:c r="G542" s="8" t="n">
        <x:v>1290.14</x:v>
      </x:c>
      <x:c r="H542" s="8" t="n">
        <x:v>381881.44</x:v>
      </x:c>
      <x:c r="I542" t="str">
        <x:v>2026-01-20</x:v>
      </x:c>
      <x:c r="J542" t="str">
        <x:v>2026-01-20</x:v>
      </x:c>
      <x:c r="K542" t="n">
        <x:v>0</x:v>
      </x:c>
      <x:c r="L542" t="str">
        <x:v>Complete</x:v>
      </x:c>
      <x:c r="M542" t="str">
        <x:v>Matched</x:v>
      </x:c>
    </x:row>
    <x:row r="543">
      <x:c r="A543" t="str">
        <x:v>PO500541</x:v>
      </x:c>
      <x:c r="B543" t="str">
        <x:v>2026-02-22</x:v>
      </x:c>
      <x:c r="C543" t="str">
        <x:v>V1017</x:v>
      </x:c>
      <x:c r="D543" t="str">
        <x:v>MAT2004</x:v>
      </x:c>
      <x:c r="E543" t="n">
        <x:v>255</x:v>
      </x:c>
      <x:c r="F543" t="n">
        <x:v>255</x:v>
      </x:c>
      <x:c r="G543" s="8" t="n">
        <x:v>137.04</x:v>
      </x:c>
      <x:c r="H543" s="8" t="n">
        <x:v>34945.2</x:v>
      </x:c>
      <x:c r="I543" t="str">
        <x:v>2026-02-26</x:v>
      </x:c>
      <x:c r="J543" t="str">
        <x:v>2026-02-27</x:v>
      </x:c>
      <x:c r="K543" t="n">
        <x:v>1</x:v>
      </x:c>
      <x:c r="L543" t="str">
        <x:v>Complete</x:v>
      </x:c>
      <x:c r="M543" t="str">
        <x:v>Mismatch</x:v>
      </x:c>
    </x:row>
    <x:row r="544">
      <x:c r="A544" t="str">
        <x:v>PO500542</x:v>
      </x:c>
      <x:c r="B544" t="str">
        <x:v>2026-08-15</x:v>
      </x:c>
      <x:c r="C544" t="str">
        <x:v>V1028</x:v>
      </x:c>
      <x:c r="D544" t="str">
        <x:v>MAT2033</x:v>
      </x:c>
      <x:c r="E544" t="n">
        <x:v>284</x:v>
      </x:c>
      <x:c r="F544" t="n">
        <x:v>284</x:v>
      </x:c>
      <x:c r="G544" s="8" t="n">
        <x:v>634.15</x:v>
      </x:c>
      <x:c r="H544" s="8" t="n">
        <x:v>180098.6</x:v>
      </x:c>
      <x:c r="I544" t="str">
        <x:v>2026-08-25</x:v>
      </x:c>
      <x:c r="J544" t="str">
        <x:v>2026-08-25</x:v>
      </x:c>
      <x:c r="K544" t="n">
        <x:v>0</x:v>
      </x:c>
      <x:c r="L544" t="str">
        <x:v>Complete</x:v>
      </x:c>
      <x:c r="M544" t="str">
        <x:v>Mismatch</x:v>
      </x:c>
    </x:row>
    <x:row r="545">
      <x:c r="A545" t="str">
        <x:v>PO500543</x:v>
      </x:c>
      <x:c r="B545" t="str">
        <x:v>2026-04-28</x:v>
      </x:c>
      <x:c r="C545" t="str">
        <x:v>V1004</x:v>
      </x:c>
      <x:c r="D545" t="str">
        <x:v>MAT2037</x:v>
      </x:c>
      <x:c r="E545" t="n">
        <x:v>199</x:v>
      </x:c>
      <x:c r="F545" t="n">
        <x:v>185</x:v>
      </x:c>
      <x:c r="G545" s="8" t="n">
        <x:v>2410.91</x:v>
      </x:c>
      <x:c r="H545" s="8" t="n">
        <x:v>479771.09</x:v>
      </x:c>
      <x:c r="I545" t="str">
        <x:v>2026-05-16</x:v>
      </x:c>
      <x:c r="J545" t="str">
        <x:v>2026-05-16</x:v>
      </x:c>
      <x:c r="K545" t="n">
        <x:v>0</x:v>
      </x:c>
      <x:c r="L545" t="str">
        <x:v>Partial</x:v>
      </x:c>
      <x:c r="M545" t="str">
        <x:v>Pending</x:v>
      </x:c>
    </x:row>
    <x:row r="546">
      <x:c r="A546" t="str">
        <x:v>PO500544</x:v>
      </x:c>
      <x:c r="B546" t="str">
        <x:v>2026-03-13</x:v>
      </x:c>
      <x:c r="C546" t="str">
        <x:v>V1001</x:v>
      </x:c>
      <x:c r="D546" t="str">
        <x:v>MAT2044</x:v>
      </x:c>
      <x:c r="E546" t="n">
        <x:v>124</x:v>
      </x:c>
      <x:c r="F546" t="n">
        <x:v>124</x:v>
      </x:c>
      <x:c r="G546" s="8" t="n">
        <x:v>1344.63</x:v>
      </x:c>
      <x:c r="H546" s="8" t="n">
        <x:v>166734.12</x:v>
      </x:c>
      <x:c r="I546" t="str">
        <x:v>2026-03-18</x:v>
      </x:c>
      <x:c r="J546" t="str">
        <x:v>2026-03-18</x:v>
      </x:c>
      <x:c r="K546" t="n">
        <x:v>0</x:v>
      </x:c>
      <x:c r="L546" t="str">
        <x:v>Complete</x:v>
      </x:c>
      <x:c r="M546" t="str">
        <x:v>Matched</x:v>
      </x:c>
    </x:row>
    <x:row r="547">
      <x:c r="A547" t="str">
        <x:v>PO500545</x:v>
      </x:c>
      <x:c r="B547" t="str">
        <x:v>2026-08-01</x:v>
      </x:c>
      <x:c r="C547" t="str">
        <x:v>V1034</x:v>
      </x:c>
      <x:c r="D547" t="str">
        <x:v>MAT2050</x:v>
      </x:c>
      <x:c r="E547" t="n">
        <x:v>330</x:v>
      </x:c>
      <x:c r="F547" t="n">
        <x:v>330</x:v>
      </x:c>
      <x:c r="G547" s="8" t="n">
        <x:v>999.21</x:v>
      </x:c>
      <x:c r="H547" s="8" t="n">
        <x:v>329739.3</x:v>
      </x:c>
      <x:c r="I547" t="str">
        <x:v>2026-08-14</x:v>
      </x:c>
      <x:c r="J547" t="str">
        <x:v>2026-08-19</x:v>
      </x:c>
      <x:c r="K547" t="n">
        <x:v>5</x:v>
      </x:c>
      <x:c r="L547" t="str">
        <x:v>Complete</x:v>
      </x:c>
      <x:c r="M547" t="str">
        <x:v>Pending</x:v>
      </x:c>
    </x:row>
    <x:row r="548">
      <x:c r="A548" t="str">
        <x:v>PO500546</x:v>
      </x:c>
      <x:c r="B548" t="str">
        <x:v>2026-04-24</x:v>
      </x:c>
      <x:c r="C548" t="str">
        <x:v>V1028</x:v>
      </x:c>
      <x:c r="D548" t="str">
        <x:v>MAT2003</x:v>
      </x:c>
      <x:c r="E548" t="n">
        <x:v>294</x:v>
      </x:c>
      <x:c r="F548" t="n">
        <x:v>294</x:v>
      </x:c>
      <x:c r="G548" s="8" t="n">
        <x:v>1948.71</x:v>
      </x:c>
      <x:c r="H548" s="8" t="n">
        <x:v>572920.74</x:v>
      </x:c>
      <x:c r="I548" t="str">
        <x:v>2026-04-30</x:v>
      </x:c>
      <x:c r="J548" t="str">
        <x:v>2026-05-05</x:v>
      </x:c>
      <x:c r="K548" t="n">
        <x:v>5</x:v>
      </x:c>
      <x:c r="L548" t="str">
        <x:v>Complete</x:v>
      </x:c>
      <x:c r="M548" t="str">
        <x:v>Matched</x:v>
      </x:c>
    </x:row>
    <x:row r="549">
      <x:c r="A549" t="str">
        <x:v>PO500547</x:v>
      </x:c>
      <x:c r="B549" t="str">
        <x:v>2026-06-24</x:v>
      </x:c>
      <x:c r="C549" t="str">
        <x:v>V1001</x:v>
      </x:c>
      <x:c r="D549" t="str">
        <x:v>MAT2033</x:v>
      </x:c>
      <x:c r="E549" t="n">
        <x:v>35</x:v>
      </x:c>
      <x:c r="F549" t="n">
        <x:v>32</x:v>
      </x:c>
      <x:c r="G549" s="8" t="n">
        <x:v>163.45</x:v>
      </x:c>
      <x:c r="H549" s="8" t="n">
        <x:v>5720.75</x:v>
      </x:c>
      <x:c r="I549" t="str">
        <x:v>2026-07-02</x:v>
      </x:c>
      <x:c r="J549" t="str">
        <x:v>2026-07-02</x:v>
      </x:c>
      <x:c r="K549" t="n">
        <x:v>0</x:v>
      </x:c>
      <x:c r="L549" t="str">
        <x:v>Partial</x:v>
      </x:c>
      <x:c r="M549" t="str">
        <x:v>Pending</x:v>
      </x:c>
    </x:row>
    <x:row r="550">
      <x:c r="A550" t="str">
        <x:v>PO500548</x:v>
      </x:c>
      <x:c r="B550" t="str">
        <x:v>2026-03-16</x:v>
      </x:c>
      <x:c r="C550" t="str">
        <x:v>V1014</x:v>
      </x:c>
      <x:c r="D550" t="str">
        <x:v>MAT2019</x:v>
      </x:c>
      <x:c r="E550" t="n">
        <x:v>215</x:v>
      </x:c>
      <x:c r="F550" t="n">
        <x:v>202</x:v>
      </x:c>
      <x:c r="G550" s="8" t="n">
        <x:v>1539.24</x:v>
      </x:c>
      <x:c r="H550" s="8" t="n">
        <x:v>330936.6</x:v>
      </x:c>
      <x:c r="I550" t="str">
        <x:v>2026-03-21</x:v>
      </x:c>
      <x:c r="J550" t="str">
        <x:v>2026-03-22</x:v>
      </x:c>
      <x:c r="K550" t="n">
        <x:v>1</x:v>
      </x:c>
      <x:c r="L550" t="str">
        <x:v>Partial</x:v>
      </x:c>
      <x:c r="M550" t="str">
        <x:v>Matched</x:v>
      </x:c>
    </x:row>
    <x:row r="551">
      <x:c r="A551" t="str">
        <x:v>PO500549</x:v>
      </x:c>
      <x:c r="B551" t="str">
        <x:v>2026-01-06</x:v>
      </x:c>
      <x:c r="C551" t="str">
        <x:v>V1001</x:v>
      </x:c>
      <x:c r="D551" t="str">
        <x:v>MAT2049</x:v>
      </x:c>
      <x:c r="E551" t="n">
        <x:v>451</x:v>
      </x:c>
      <x:c r="F551" t="n">
        <x:v>440</x:v>
      </x:c>
      <x:c r="G551" s="8" t="n">
        <x:v>377.5</x:v>
      </x:c>
      <x:c r="H551" s="8" t="n">
        <x:v>170252.5</x:v>
      </x:c>
      <x:c r="I551" t="str">
        <x:v>2026-01-15</x:v>
      </x:c>
      <x:c r="J551" t="str">
        <x:v>2026-01-18</x:v>
      </x:c>
      <x:c r="K551" t="n">
        <x:v>3</x:v>
      </x:c>
      <x:c r="L551" t="str">
        <x:v>Partial</x:v>
      </x:c>
      <x:c r="M551" t="str">
        <x:v>Matched</x:v>
      </x:c>
    </x:row>
    <x:row r="552">
      <x:c r="A552" t="str">
        <x:v>PO500550</x:v>
      </x:c>
      <x:c r="B552" t="str">
        <x:v>2026-02-01</x:v>
      </x:c>
      <x:c r="C552" t="str">
        <x:v>V1018</x:v>
      </x:c>
      <x:c r="D552" t="str">
        <x:v>MAT2071</x:v>
      </x:c>
      <x:c r="E552" t="n">
        <x:v>406</x:v>
      </x:c>
      <x:c r="F552" t="n">
        <x:v>406</x:v>
      </x:c>
      <x:c r="G552" s="8" t="n">
        <x:v>1409.4</x:v>
      </x:c>
      <x:c r="H552" s="8" t="n">
        <x:v>572216.4</x:v>
      </x:c>
      <x:c r="I552" t="str">
        <x:v>2026-02-10</x:v>
      </x:c>
      <x:c r="J552" t="str">
        <x:v>2026-02-15</x:v>
      </x:c>
      <x:c r="K552" t="n">
        <x:v>5</x:v>
      </x:c>
      <x:c r="L552" t="str">
        <x:v>Complete</x:v>
      </x:c>
      <x:c r="M552" t="str">
        <x:v>Matched</x:v>
      </x:c>
    </x:row>
    <x:row r="553">
      <x:c r="A553" t="str">
        <x:v>PO500551</x:v>
      </x:c>
      <x:c r="B553" t="str">
        <x:v>2026-06-07</x:v>
      </x:c>
      <x:c r="C553" t="str">
        <x:v>V1013</x:v>
      </x:c>
      <x:c r="D553" t="str">
        <x:v>MAT2071</x:v>
      </x:c>
      <x:c r="E553" t="n">
        <x:v>404</x:v>
      </x:c>
      <x:c r="F553" t="n">
        <x:v>404</x:v>
      </x:c>
      <x:c r="G553" s="8" t="n">
        <x:v>518.42</x:v>
      </x:c>
      <x:c r="H553" s="8" t="n">
        <x:v>209441.68</x:v>
      </x:c>
      <x:c r="I553" t="str">
        <x:v>2026-06-11</x:v>
      </x:c>
      <x:c r="J553" t="str">
        <x:v>2026-06-11</x:v>
      </x:c>
      <x:c r="K553" t="n">
        <x:v>0</x:v>
      </x:c>
      <x:c r="L553" t="str">
        <x:v>Complete</x:v>
      </x:c>
      <x:c r="M553" t="str">
        <x:v>Matched</x:v>
      </x:c>
    </x:row>
    <x:row r="554">
      <x:c r="A554" t="str">
        <x:v>PO500552</x:v>
      </x:c>
      <x:c r="B554" t="str">
        <x:v>2026-04-26</x:v>
      </x:c>
      <x:c r="C554" t="str">
        <x:v>V1002</x:v>
      </x:c>
      <x:c r="D554" t="str">
        <x:v>MAT2077</x:v>
      </x:c>
      <x:c r="E554" t="n">
        <x:v>115</x:v>
      </x:c>
      <x:c r="F554" t="n">
        <x:v>115</x:v>
      </x:c>
      <x:c r="G554" s="8" t="n">
        <x:v>584.56</x:v>
      </x:c>
      <x:c r="H554" s="8" t="n">
        <x:v>67224.4</x:v>
      </x:c>
      <x:c r="I554" t="str">
        <x:v>2026-05-13</x:v>
      </x:c>
      <x:c r="J554" t="str">
        <x:v>2026-05-18</x:v>
      </x:c>
      <x:c r="K554" t="n">
        <x:v>5</x:v>
      </x:c>
      <x:c r="L554" t="str">
        <x:v>Complete</x:v>
      </x:c>
      <x:c r="M554" t="str">
        <x:v>Pending</x:v>
      </x:c>
    </x:row>
    <x:row r="555">
      <x:c r="A555" t="str">
        <x:v>PO500553</x:v>
      </x:c>
      <x:c r="B555" t="str">
        <x:v>2026-01-19</x:v>
      </x:c>
      <x:c r="C555" t="str">
        <x:v>V1011</x:v>
      </x:c>
      <x:c r="D555" t="str">
        <x:v>MAT2068</x:v>
      </x:c>
      <x:c r="E555" t="n">
        <x:v>41</x:v>
      </x:c>
      <x:c r="F555" t="n">
        <x:v>41</x:v>
      </x:c>
      <x:c r="G555" s="8" t="n">
        <x:v>819.18</x:v>
      </x:c>
      <x:c r="H555" s="8" t="n">
        <x:v>33586.38</x:v>
      </x:c>
      <x:c r="I555" t="str">
        <x:v>2026-01-31</x:v>
      </x:c>
      <x:c r="J555" t="str">
        <x:v>2026-01-31</x:v>
      </x:c>
      <x:c r="K555" t="n">
        <x:v>0</x:v>
      </x:c>
      <x:c r="L555" t="str">
        <x:v>Complete</x:v>
      </x:c>
      <x:c r="M555" t="str">
        <x:v>Matched</x:v>
      </x:c>
    </x:row>
    <x:row r="556">
      <x:c r="A556" t="str">
        <x:v>PO500554</x:v>
      </x:c>
      <x:c r="B556" t="str">
        <x:v>2026-02-01</x:v>
      </x:c>
      <x:c r="C556" t="str">
        <x:v>V1009</x:v>
      </x:c>
      <x:c r="D556" t="str">
        <x:v>MAT2062</x:v>
      </x:c>
      <x:c r="E556" t="n">
        <x:v>283</x:v>
      </x:c>
      <x:c r="F556" t="n">
        <x:v>283</x:v>
      </x:c>
      <x:c r="G556" s="8" t="n">
        <x:v>2156.33</x:v>
      </x:c>
      <x:c r="H556" s="8" t="n">
        <x:v>610241.39</x:v>
      </x:c>
      <x:c r="I556" t="str">
        <x:v>2026-02-10</x:v>
      </x:c>
      <x:c r="J556" t="str">
        <x:v>2026-02-10</x:v>
      </x:c>
      <x:c r="K556" t="n">
        <x:v>0</x:v>
      </x:c>
      <x:c r="L556" t="str">
        <x:v>Complete</x:v>
      </x:c>
      <x:c r="M556" t="str">
        <x:v>Matched</x:v>
      </x:c>
    </x:row>
    <x:row r="557">
      <x:c r="A557" t="str">
        <x:v>PO500555</x:v>
      </x:c>
      <x:c r="B557" t="str">
        <x:v>2026-05-09</x:v>
      </x:c>
      <x:c r="C557" t="str">
        <x:v>V1010</x:v>
      </x:c>
      <x:c r="D557" t="str">
        <x:v>MAT2016</x:v>
      </x:c>
      <x:c r="E557" t="n">
        <x:v>16</x:v>
      </x:c>
      <x:c r="F557" t="n">
        <x:v>16</x:v>
      </x:c>
      <x:c r="G557" s="8" t="n">
        <x:v>1402.24</x:v>
      </x:c>
      <x:c r="H557" s="8" t="n">
        <x:v>22435.84</x:v>
      </x:c>
      <x:c r="I557" t="str">
        <x:v>2026-05-13</x:v>
      </x:c>
      <x:c r="J557" t="str">
        <x:v>2026-05-16</x:v>
      </x:c>
      <x:c r="K557" t="n">
        <x:v>3</x:v>
      </x:c>
      <x:c r="L557" t="str">
        <x:v>Complete</x:v>
      </x:c>
      <x:c r="M557" t="str">
        <x:v>Matched</x:v>
      </x:c>
    </x:row>
    <x:row r="558">
      <x:c r="A558" t="str">
        <x:v>PO500556</x:v>
      </x:c>
      <x:c r="B558" t="str">
        <x:v>2026-04-12</x:v>
      </x:c>
      <x:c r="C558" t="str">
        <x:v>V1008</x:v>
      </x:c>
      <x:c r="D558" t="str">
        <x:v>MAT2010</x:v>
      </x:c>
      <x:c r="E558" t="n">
        <x:v>287</x:v>
      </x:c>
      <x:c r="F558" t="n">
        <x:v>287</x:v>
      </x:c>
      <x:c r="G558" s="8" t="n">
        <x:v>573.87</x:v>
      </x:c>
      <x:c r="H558" s="8" t="n">
        <x:v>164700.69</x:v>
      </x:c>
      <x:c r="I558" t="str">
        <x:v>2026-04-23</x:v>
      </x:c>
      <x:c r="J558" t="str">
        <x:v>2026-04-23</x:v>
      </x:c>
      <x:c r="K558" t="n">
        <x:v>0</x:v>
      </x:c>
      <x:c r="L558" t="str">
        <x:v>Complete</x:v>
      </x:c>
      <x:c r="M558" t="str">
        <x:v>Pending</x:v>
      </x:c>
    </x:row>
    <x:row r="559">
      <x:c r="A559" t="str">
        <x:v>PO500557</x:v>
      </x:c>
      <x:c r="B559" t="str">
        <x:v>2026-03-18</x:v>
      </x:c>
      <x:c r="C559" t="str">
        <x:v>V1023</x:v>
      </x:c>
      <x:c r="D559" t="str">
        <x:v>MAT2079</x:v>
      </x:c>
      <x:c r="E559" t="n">
        <x:v>470</x:v>
      </x:c>
      <x:c r="F559" t="n">
        <x:v>470</x:v>
      </x:c>
      <x:c r="G559" s="8" t="n">
        <x:v>55.07</x:v>
      </x:c>
      <x:c r="H559" s="8" t="n">
        <x:v>25882.9</x:v>
      </x:c>
      <x:c r="I559" t="str">
        <x:v>2026-03-23</x:v>
      </x:c>
      <x:c r="J559" t="str">
        <x:v>2026-03-23</x:v>
      </x:c>
      <x:c r="K559" t="n">
        <x:v>0</x:v>
      </x:c>
      <x:c r="L559" t="str">
        <x:v>Complete</x:v>
      </x:c>
      <x:c r="M559" t="str">
        <x:v>Matched</x:v>
      </x:c>
    </x:row>
    <x:row r="560">
      <x:c r="A560" t="str">
        <x:v>PO500558</x:v>
      </x:c>
      <x:c r="B560" t="str">
        <x:v>2026-01-02</x:v>
      </x:c>
      <x:c r="C560" t="str">
        <x:v>V1034</x:v>
      </x:c>
      <x:c r="D560" t="str">
        <x:v>MAT2023</x:v>
      </x:c>
      <x:c r="E560" t="n">
        <x:v>402</x:v>
      </x:c>
      <x:c r="F560" t="n">
        <x:v>402</x:v>
      </x:c>
      <x:c r="G560" s="8" t="n">
        <x:v>908.91</x:v>
      </x:c>
      <x:c r="H560" s="8" t="n">
        <x:v>365381.82</x:v>
      </x:c>
      <x:c r="I560" t="str">
        <x:v>2026-01-17</x:v>
      </x:c>
      <x:c r="J560" t="str">
        <x:v>2026-01-17</x:v>
      </x:c>
      <x:c r="K560" t="n">
        <x:v>0</x:v>
      </x:c>
      <x:c r="L560" t="str">
        <x:v>Complete</x:v>
      </x:c>
      <x:c r="M560" t="str">
        <x:v>Matched</x:v>
      </x:c>
    </x:row>
    <x:row r="561">
      <x:c r="A561" t="str">
        <x:v>PO500559</x:v>
      </x:c>
      <x:c r="B561" t="str">
        <x:v>2026-08-04</x:v>
      </x:c>
      <x:c r="C561" t="str">
        <x:v>V1002</x:v>
      </x:c>
      <x:c r="D561" t="str">
        <x:v>MAT2071</x:v>
      </x:c>
      <x:c r="E561" t="n">
        <x:v>36</x:v>
      </x:c>
      <x:c r="F561" t="n">
        <x:v>36</x:v>
      </x:c>
      <x:c r="G561" s="8" t="n">
        <x:v>1526.15</x:v>
      </x:c>
      <x:c r="H561" s="8" t="n">
        <x:v>54941.4</x:v>
      </x:c>
      <x:c r="I561" t="str">
        <x:v>2026-08-07</x:v>
      </x:c>
      <x:c r="J561" t="str">
        <x:v>2026-08-07</x:v>
      </x:c>
      <x:c r="K561" t="n">
        <x:v>0</x:v>
      </x:c>
      <x:c r="L561" t="str">
        <x:v>Complete</x:v>
      </x:c>
      <x:c r="M561" t="str">
        <x:v>Matched</x:v>
      </x:c>
    </x:row>
    <x:row r="562">
      <x:c r="A562" t="str">
        <x:v>PO500560</x:v>
      </x:c>
      <x:c r="B562" t="str">
        <x:v>2026-02-16</x:v>
      </x:c>
      <x:c r="C562" t="str">
        <x:v>V1029</x:v>
      </x:c>
      <x:c r="D562" t="str">
        <x:v>MAT2005</x:v>
      </x:c>
      <x:c r="E562" t="n">
        <x:v>188</x:v>
      </x:c>
      <x:c r="F562" t="n">
        <x:v>188</x:v>
      </x:c>
      <x:c r="G562" s="8" t="n">
        <x:v>263.35</x:v>
      </x:c>
      <x:c r="H562" s="8" t="n">
        <x:v>49509.8</x:v>
      </x:c>
      <x:c r="I562" t="str">
        <x:v>2026-02-27</x:v>
      </x:c>
      <x:c r="J562" t="str">
        <x:v>2026-02-27</x:v>
      </x:c>
      <x:c r="K562" t="n">
        <x:v>0</x:v>
      </x:c>
      <x:c r="L562" t="str">
        <x:v>Complete</x:v>
      </x:c>
      <x:c r="M562" t="str">
        <x:v>Pending</x:v>
      </x:c>
    </x:row>
    <x:row r="563">
      <x:c r="A563" t="str">
        <x:v>PO500561</x:v>
      </x:c>
      <x:c r="B563" t="str">
        <x:v>2026-01-05</x:v>
      </x:c>
      <x:c r="C563" t="str">
        <x:v>V1018</x:v>
      </x:c>
      <x:c r="D563" t="str">
        <x:v>MAT2014</x:v>
      </x:c>
      <x:c r="E563" t="n">
        <x:v>299</x:v>
      </x:c>
      <x:c r="F563" t="n">
        <x:v>299</x:v>
      </x:c>
      <x:c r="G563" s="8" t="n">
        <x:v>672.51</x:v>
      </x:c>
      <x:c r="H563" s="8" t="n">
        <x:v>201080.49</x:v>
      </x:c>
      <x:c r="I563" t="str">
        <x:v>2026-01-19</x:v>
      </x:c>
      <x:c r="J563" t="str">
        <x:v>2026-01-19</x:v>
      </x:c>
      <x:c r="K563" t="n">
        <x:v>0</x:v>
      </x:c>
      <x:c r="L563" t="str">
        <x:v>Complete</x:v>
      </x:c>
      <x:c r="M563" t="str">
        <x:v>Matched</x:v>
      </x:c>
    </x:row>
    <x:row r="564">
      <x:c r="A564" t="str">
        <x:v>PO500562</x:v>
      </x:c>
      <x:c r="B564" t="str">
        <x:v>2026-08-18</x:v>
      </x:c>
      <x:c r="C564" t="str">
        <x:v>V1031</x:v>
      </x:c>
      <x:c r="D564" t="str">
        <x:v>MAT2028</x:v>
      </x:c>
      <x:c r="E564" t="n">
        <x:v>258</x:v>
      </x:c>
      <x:c r="F564" t="n">
        <x:v>258</x:v>
      </x:c>
      <x:c r="G564" s="8" t="n">
        <x:v>1595.1</x:v>
      </x:c>
      <x:c r="H564" s="8" t="n">
        <x:v>411535.8</x:v>
      </x:c>
      <x:c r="I564" t="str">
        <x:v>2026-08-31</x:v>
      </x:c>
      <x:c r="J564" t="str">
        <x:v>2026-08-31</x:v>
      </x:c>
      <x:c r="K564" t="n">
        <x:v>0</x:v>
      </x:c>
      <x:c r="L564" t="str">
        <x:v>Complete</x:v>
      </x:c>
      <x:c r="M564" t="str">
        <x:v>Matched</x:v>
      </x:c>
    </x:row>
    <x:row r="565">
      <x:c r="A565" t="str">
        <x:v>PO500563</x:v>
      </x:c>
      <x:c r="B565" t="str">
        <x:v>2026-04-17</x:v>
      </x:c>
      <x:c r="C565" t="str">
        <x:v>V1009</x:v>
      </x:c>
      <x:c r="D565" t="str">
        <x:v>MAT2056</x:v>
      </x:c>
      <x:c r="E565" t="n">
        <x:v>159</x:v>
      </x:c>
      <x:c r="F565" t="n">
        <x:v>159</x:v>
      </x:c>
      <x:c r="G565" s="8" t="n">
        <x:v>1462.21</x:v>
      </x:c>
      <x:c r="H565" s="8" t="n">
        <x:v>232491.39</x:v>
      </x:c>
      <x:c r="I565" t="str">
        <x:v>2026-04-30</x:v>
      </x:c>
      <x:c r="J565" t="str">
        <x:v>2026-04-30</x:v>
      </x:c>
      <x:c r="K565" t="n">
        <x:v>0</x:v>
      </x:c>
      <x:c r="L565" t="str">
        <x:v>Complete</x:v>
      </x:c>
      <x:c r="M565" t="str">
        <x:v>Matched</x:v>
      </x:c>
    </x:row>
    <x:row r="566">
      <x:c r="A566" t="str">
        <x:v>PO500564</x:v>
      </x:c>
      <x:c r="B566" t="str">
        <x:v>2026-05-20</x:v>
      </x:c>
      <x:c r="C566" t="str">
        <x:v>V1020</x:v>
      </x:c>
      <x:c r="D566" t="str">
        <x:v>MAT2023</x:v>
      </x:c>
      <x:c r="E566" t="n">
        <x:v>30</x:v>
      </x:c>
      <x:c r="F566" t="n">
        <x:v>30</x:v>
      </x:c>
      <x:c r="G566" s="8" t="n">
        <x:v>1986.89</x:v>
      </x:c>
      <x:c r="H566" s="8" t="n">
        <x:v>59606.7</x:v>
      </x:c>
      <x:c r="I566" t="str">
        <x:v>2026-05-24</x:v>
      </x:c>
      <x:c r="J566" t="str">
        <x:v>2026-05-27</x:v>
      </x:c>
      <x:c r="K566" t="n">
        <x:v>3</x:v>
      </x:c>
      <x:c r="L566" t="str">
        <x:v>Complete</x:v>
      </x:c>
      <x:c r="M566" t="str">
        <x:v>Matched</x:v>
      </x:c>
    </x:row>
    <x:row r="567">
      <x:c r="A567" t="str">
        <x:v>PO500565</x:v>
      </x:c>
      <x:c r="B567" t="str">
        <x:v>2026-07-15</x:v>
      </x:c>
      <x:c r="C567" t="str">
        <x:v>V1025</x:v>
      </x:c>
      <x:c r="D567" t="str">
        <x:v>MAT2024</x:v>
      </x:c>
      <x:c r="E567" t="n">
        <x:v>21</x:v>
      </x:c>
      <x:c r="F567" t="n">
        <x:v>21</x:v>
      </x:c>
      <x:c r="G567" s="8" t="n">
        <x:v>1235.03</x:v>
      </x:c>
      <x:c r="H567" s="8" t="n">
        <x:v>25935.63</x:v>
      </x:c>
      <x:c r="I567" t="str">
        <x:v>2026-07-30</x:v>
      </x:c>
      <x:c r="J567" t="str">
        <x:v>2026-07-30</x:v>
      </x:c>
      <x:c r="K567" t="n">
        <x:v>0</x:v>
      </x:c>
      <x:c r="L567" t="str">
        <x:v>Complete</x:v>
      </x:c>
      <x:c r="M567" t="str">
        <x:v>Matched</x:v>
      </x:c>
    </x:row>
    <x:row r="568">
      <x:c r="A568" t="str">
        <x:v>PO500566</x:v>
      </x:c>
      <x:c r="B568" t="str">
        <x:v>2026-05-12</x:v>
      </x:c>
      <x:c r="C568" t="str">
        <x:v>V1017</x:v>
      </x:c>
      <x:c r="D568" t="str">
        <x:v>MAT2051</x:v>
      </x:c>
      <x:c r="E568" t="n">
        <x:v>238</x:v>
      </x:c>
      <x:c r="F568" t="n">
        <x:v>231</x:v>
      </x:c>
      <x:c r="G568" s="8" t="n">
        <x:v>409.34</x:v>
      </x:c>
      <x:c r="H568" s="8" t="n">
        <x:v>97422.92</x:v>
      </x:c>
      <x:c r="I568" t="str">
        <x:v>2026-05-31</x:v>
      </x:c>
      <x:c r="J568" t="str">
        <x:v>2026-05-31</x:v>
      </x:c>
      <x:c r="K568" t="n">
        <x:v>0</x:v>
      </x:c>
      <x:c r="L568" t="str">
        <x:v>Partial</x:v>
      </x:c>
      <x:c r="M568" t="str">
        <x:v>Matched</x:v>
      </x:c>
    </x:row>
    <x:row r="569">
      <x:c r="A569" t="str">
        <x:v>PO500567</x:v>
      </x:c>
      <x:c r="B569" t="str">
        <x:v>2026-04-04</x:v>
      </x:c>
      <x:c r="C569" t="str">
        <x:v>V1017</x:v>
      </x:c>
      <x:c r="D569" t="str">
        <x:v>MAT2079</x:v>
      </x:c>
      <x:c r="E569" t="n">
        <x:v>390</x:v>
      </x:c>
      <x:c r="F569" t="n">
        <x:v>390</x:v>
      </x:c>
      <x:c r="G569" s="8" t="n">
        <x:v>2353.47</x:v>
      </x:c>
      <x:c r="H569" s="8" t="n">
        <x:v>917853.3</x:v>
      </x:c>
      <x:c r="I569" t="str">
        <x:v>2026-04-15</x:v>
      </x:c>
      <x:c r="J569" t="str">
        <x:v>2026-04-17</x:v>
      </x:c>
      <x:c r="K569" t="n">
        <x:v>2</x:v>
      </x:c>
      <x:c r="L569" t="str">
        <x:v>Complete</x:v>
      </x:c>
      <x:c r="M569" t="str">
        <x:v>Matched</x:v>
      </x:c>
    </x:row>
    <x:row r="570">
      <x:c r="A570" t="str">
        <x:v>PO500568</x:v>
      </x:c>
      <x:c r="B570" t="str">
        <x:v>2026-08-26</x:v>
      </x:c>
      <x:c r="C570" t="str">
        <x:v>V1030</x:v>
      </x:c>
      <x:c r="D570" t="str">
        <x:v>MAT2055</x:v>
      </x:c>
      <x:c r="E570" t="n">
        <x:v>342</x:v>
      </x:c>
      <x:c r="F570" t="n">
        <x:v>342</x:v>
      </x:c>
      <x:c r="G570" s="8" t="n">
        <x:v>566.91</x:v>
      </x:c>
      <x:c r="H570" s="8" t="n">
        <x:v>193883.22</x:v>
      </x:c>
      <x:c r="I570" t="str">
        <x:v>2026-09-10</x:v>
      </x:c>
      <x:c r="J570" t="str">
        <x:v>2026-09-12</x:v>
      </x:c>
      <x:c r="K570" t="n">
        <x:v>2</x:v>
      </x:c>
      <x:c r="L570" t="str">
        <x:v>Complete</x:v>
      </x:c>
      <x:c r="M570" t="str">
        <x:v>Mismatch</x:v>
      </x:c>
    </x:row>
    <x:row r="571">
      <x:c r="A571" t="str">
        <x:v>PO500569</x:v>
      </x:c>
      <x:c r="B571" t="str">
        <x:v>2026-07-28</x:v>
      </x:c>
      <x:c r="C571" t="str">
        <x:v>V1032</x:v>
      </x:c>
      <x:c r="D571" t="str">
        <x:v>MAT2075</x:v>
      </x:c>
      <x:c r="E571" t="n">
        <x:v>238</x:v>
      </x:c>
      <x:c r="F571" t="n">
        <x:v>238</x:v>
      </x:c>
      <x:c r="G571" s="8" t="n">
        <x:v>389.08</x:v>
      </x:c>
      <x:c r="H571" s="8" t="n">
        <x:v>92601.04</x:v>
      </x:c>
      <x:c r="I571" t="str">
        <x:v>2026-08-11</x:v>
      </x:c>
      <x:c r="J571" t="str">
        <x:v>2026-08-11</x:v>
      </x:c>
      <x:c r="K571" t="n">
        <x:v>0</x:v>
      </x:c>
      <x:c r="L571" t="str">
        <x:v>Complete</x:v>
      </x:c>
      <x:c r="M571" t="str">
        <x:v>Matched</x:v>
      </x:c>
    </x:row>
    <x:row r="572">
      <x:c r="A572" t="str">
        <x:v>PO500570</x:v>
      </x:c>
      <x:c r="B572" t="str">
        <x:v>2026-06-13</x:v>
      </x:c>
      <x:c r="C572" t="str">
        <x:v>V1025</x:v>
      </x:c>
      <x:c r="D572" t="str">
        <x:v>MAT2012</x:v>
      </x:c>
      <x:c r="E572" t="n">
        <x:v>349</x:v>
      </x:c>
      <x:c r="F572" t="n">
        <x:v>349</x:v>
      </x:c>
      <x:c r="G572" s="8" t="n">
        <x:v>2263.35</x:v>
      </x:c>
      <x:c r="H572" s="8" t="n">
        <x:v>789909.15</x:v>
      </x:c>
      <x:c r="I572" t="str">
        <x:v>2026-06-24</x:v>
      </x:c>
      <x:c r="J572" t="str">
        <x:v>2026-06-24</x:v>
      </x:c>
      <x:c r="K572" t="n">
        <x:v>0</x:v>
      </x:c>
      <x:c r="L572" t="str">
        <x:v>Complete</x:v>
      </x:c>
      <x:c r="M572" t="str">
        <x:v>Matched</x:v>
      </x:c>
    </x:row>
    <x:row r="573">
      <x:c r="A573" t="str">
        <x:v>PO500571</x:v>
      </x:c>
      <x:c r="B573" t="str">
        <x:v>2026-08-11</x:v>
      </x:c>
      <x:c r="C573" t="str">
        <x:v>V1013</x:v>
      </x:c>
      <x:c r="D573" t="str">
        <x:v>MAT2078</x:v>
      </x:c>
      <x:c r="E573" t="n">
        <x:v>235</x:v>
      </x:c>
      <x:c r="F573" t="n">
        <x:v>235</x:v>
      </x:c>
      <x:c r="G573" s="8" t="n">
        <x:v>835.13</x:v>
      </x:c>
      <x:c r="H573" s="8" t="n">
        <x:v>196255.55</x:v>
      </x:c>
      <x:c r="I573" t="str">
        <x:v>2026-08-22</x:v>
      </x:c>
      <x:c r="J573" t="str">
        <x:v>2026-08-22</x:v>
      </x:c>
      <x:c r="K573" t="n">
        <x:v>0</x:v>
      </x:c>
      <x:c r="L573" t="str">
        <x:v>Complete</x:v>
      </x:c>
      <x:c r="M573" t="str">
        <x:v>Matched</x:v>
      </x:c>
    </x:row>
    <x:row r="574">
      <x:c r="A574" t="str">
        <x:v>PO500572</x:v>
      </x:c>
      <x:c r="B574" t="str">
        <x:v>2026-01-21</x:v>
      </x:c>
      <x:c r="C574" t="str">
        <x:v>V1015</x:v>
      </x:c>
      <x:c r="D574" t="str">
        <x:v>MAT2034</x:v>
      </x:c>
      <x:c r="E574" t="n">
        <x:v>427</x:v>
      </x:c>
      <x:c r="F574" t="n">
        <x:v>388</x:v>
      </x:c>
      <x:c r="G574" s="8" t="n">
        <x:v>187.84</x:v>
      </x:c>
      <x:c r="H574" s="8" t="n">
        <x:v>80207.68</x:v>
      </x:c>
      <x:c r="I574" t="str">
        <x:v>2026-01-28</x:v>
      </x:c>
      <x:c r="J574" t="str">
        <x:v>2026-01-28</x:v>
      </x:c>
      <x:c r="K574" t="n">
        <x:v>0</x:v>
      </x:c>
      <x:c r="L574" t="str">
        <x:v>Partial</x:v>
      </x:c>
      <x:c r="M574" t="str">
        <x:v>Matched</x:v>
      </x:c>
    </x:row>
    <x:row r="575">
      <x:c r="A575" t="str">
        <x:v>PO500573</x:v>
      </x:c>
      <x:c r="B575" t="str">
        <x:v>2026-02-11</x:v>
      </x:c>
      <x:c r="C575" t="str">
        <x:v>V1004</x:v>
      </x:c>
      <x:c r="D575" t="str">
        <x:v>MAT2015</x:v>
      </x:c>
      <x:c r="E575" t="n">
        <x:v>346</x:v>
      </x:c>
      <x:c r="F575" t="n">
        <x:v>346</x:v>
      </x:c>
      <x:c r="G575" s="8" t="n">
        <x:v>2175.12</x:v>
      </x:c>
      <x:c r="H575" s="8" t="n">
        <x:v>752591.52</x:v>
      </x:c>
      <x:c r="I575" t="str">
        <x:v>2026-02-19</x:v>
      </x:c>
      <x:c r="J575" t="str">
        <x:v>2026-02-22</x:v>
      </x:c>
      <x:c r="K575" t="n">
        <x:v>3</x:v>
      </x:c>
      <x:c r="L575" t="str">
        <x:v>Complete</x:v>
      </x:c>
      <x:c r="M575" t="str">
        <x:v>Matched</x:v>
      </x:c>
    </x:row>
    <x:row r="576">
      <x:c r="A576" t="str">
        <x:v>PO500574</x:v>
      </x:c>
      <x:c r="B576" t="str">
        <x:v>2026-03-22</x:v>
      </x:c>
      <x:c r="C576" t="str">
        <x:v>V1022</x:v>
      </x:c>
      <x:c r="D576" t="str">
        <x:v>MAT2058</x:v>
      </x:c>
      <x:c r="E576" t="n">
        <x:v>83</x:v>
      </x:c>
      <x:c r="F576" t="n">
        <x:v>83</x:v>
      </x:c>
      <x:c r="G576" s="8" t="n">
        <x:v>303.41</x:v>
      </x:c>
      <x:c r="H576" s="8" t="n">
        <x:v>25183.03</x:v>
      </x:c>
      <x:c r="I576" t="str">
        <x:v>2026-04-01</x:v>
      </x:c>
      <x:c r="J576" t="str">
        <x:v>2026-04-01</x:v>
      </x:c>
      <x:c r="K576" t="n">
        <x:v>0</x:v>
      </x:c>
      <x:c r="L576" t="str">
        <x:v>Complete</x:v>
      </x:c>
      <x:c r="M576" t="str">
        <x:v>Matched</x:v>
      </x:c>
    </x:row>
    <x:row r="577">
      <x:c r="A577" t="str">
        <x:v>PO500575</x:v>
      </x:c>
      <x:c r="B577" t="str">
        <x:v>2026-03-20</x:v>
      </x:c>
      <x:c r="C577" t="str">
        <x:v>V1021</x:v>
      </x:c>
      <x:c r="D577" t="str">
        <x:v>MAT2066</x:v>
      </x:c>
      <x:c r="E577" t="n">
        <x:v>124</x:v>
      </x:c>
      <x:c r="F577" t="n">
        <x:v>124</x:v>
      </x:c>
      <x:c r="G577" s="8" t="n">
        <x:v>922.03</x:v>
      </x:c>
      <x:c r="H577" s="8" t="n">
        <x:v>114331.72</x:v>
      </x:c>
      <x:c r="I577" t="str">
        <x:v>2026-04-02</x:v>
      </x:c>
      <x:c r="J577" t="str">
        <x:v>2026-04-02</x:v>
      </x:c>
      <x:c r="K577" t="n">
        <x:v>0</x:v>
      </x:c>
      <x:c r="L577" t="str">
        <x:v>Complete</x:v>
      </x:c>
      <x:c r="M577" t="str">
        <x:v>Matched</x:v>
      </x:c>
    </x:row>
    <x:row r="578">
      <x:c r="A578" t="str">
        <x:v>PO500576</x:v>
      </x:c>
      <x:c r="B578" t="str">
        <x:v>2026-06-27</x:v>
      </x:c>
      <x:c r="C578" t="str">
        <x:v>V1001</x:v>
      </x:c>
      <x:c r="D578" t="str">
        <x:v>MAT2008</x:v>
      </x:c>
      <x:c r="E578" t="n">
        <x:v>64</x:v>
      </x:c>
      <x:c r="F578" t="n">
        <x:v>59</x:v>
      </x:c>
      <x:c r="G578" s="8" t="n">
        <x:v>1114.44</x:v>
      </x:c>
      <x:c r="H578" s="8" t="n">
        <x:v>71324.16</x:v>
      </x:c>
      <x:c r="I578" t="str">
        <x:v>2026-07-16</x:v>
      </x:c>
      <x:c r="J578" t="str">
        <x:v>2026-07-18</x:v>
      </x:c>
      <x:c r="K578" t="n">
        <x:v>2</x:v>
      </x:c>
      <x:c r="L578" t="str">
        <x:v>Partial</x:v>
      </x:c>
      <x:c r="M578" t="str">
        <x:v>Matched</x:v>
      </x:c>
    </x:row>
    <x:row r="579">
      <x:c r="A579" t="str">
        <x:v>PO500577</x:v>
      </x:c>
      <x:c r="B579" t="str">
        <x:v>2026-07-04</x:v>
      </x:c>
      <x:c r="C579" t="str">
        <x:v>V1019</x:v>
      </x:c>
      <x:c r="D579" t="str">
        <x:v>MAT2061</x:v>
      </x:c>
      <x:c r="E579" t="n">
        <x:v>482</x:v>
      </x:c>
      <x:c r="F579" t="n">
        <x:v>482</x:v>
      </x:c>
      <x:c r="G579" s="8" t="n">
        <x:v>2273.32</x:v>
      </x:c>
      <x:c r="H579" s="8" t="n">
        <x:v>1095740.24</x:v>
      </x:c>
      <x:c r="I579" t="str">
        <x:v>2026-07-16</x:v>
      </x:c>
      <x:c r="J579" t="str">
        <x:v>2026-07-16</x:v>
      </x:c>
      <x:c r="K579" t="n">
        <x:v>0</x:v>
      </x:c>
      <x:c r="L579" t="str">
        <x:v>Complete</x:v>
      </x:c>
      <x:c r="M579" t="str">
        <x:v>Matched</x:v>
      </x:c>
    </x:row>
    <x:row r="580">
      <x:c r="A580" t="str">
        <x:v>PO500578</x:v>
      </x:c>
      <x:c r="B580" t="str">
        <x:v>2026-02-20</x:v>
      </x:c>
      <x:c r="C580" t="str">
        <x:v>V1011</x:v>
      </x:c>
      <x:c r="D580" t="str">
        <x:v>MAT2074</x:v>
      </x:c>
      <x:c r="E580" t="n">
        <x:v>193</x:v>
      </x:c>
      <x:c r="F580" t="n">
        <x:v>193</x:v>
      </x:c>
      <x:c r="G580" s="8" t="n">
        <x:v>2244.06</x:v>
      </x:c>
      <x:c r="H580" s="8" t="n">
        <x:v>433103.58</x:v>
      </x:c>
      <x:c r="I580" t="str">
        <x:v>2026-02-25</x:v>
      </x:c>
      <x:c r="J580" t="str">
        <x:v>2026-02-25</x:v>
      </x:c>
      <x:c r="K580" t="n">
        <x:v>0</x:v>
      </x:c>
      <x:c r="L580" t="str">
        <x:v>Complete</x:v>
      </x:c>
      <x:c r="M580" t="str">
        <x:v>Mismatch</x:v>
      </x:c>
    </x:row>
    <x:row r="581">
      <x:c r="A581" t="str">
        <x:v>PO500579</x:v>
      </x:c>
      <x:c r="B581" t="str">
        <x:v>2026-01-09</x:v>
      </x:c>
      <x:c r="C581" t="str">
        <x:v>V1028</x:v>
      </x:c>
      <x:c r="D581" t="str">
        <x:v>MAT2010</x:v>
      </x:c>
      <x:c r="E581" t="n">
        <x:v>457</x:v>
      </x:c>
      <x:c r="F581" t="n">
        <x:v>457</x:v>
      </x:c>
      <x:c r="G581" s="8" t="n">
        <x:v>1722.98</x:v>
      </x:c>
      <x:c r="H581" s="8" t="n">
        <x:v>787401.86</x:v>
      </x:c>
      <x:c r="I581" t="str">
        <x:v>2026-01-14</x:v>
      </x:c>
      <x:c r="J581" t="str">
        <x:v>2026-01-14</x:v>
      </x:c>
      <x:c r="K581" t="n">
        <x:v>0</x:v>
      </x:c>
      <x:c r="L581" t="str">
        <x:v>Complete</x:v>
      </x:c>
      <x:c r="M581" t="str">
        <x:v>Pending</x:v>
      </x:c>
    </x:row>
    <x:row r="582">
      <x:c r="A582" t="str">
        <x:v>PO500580</x:v>
      </x:c>
      <x:c r="B582" t="str">
        <x:v>2026-05-27</x:v>
      </x:c>
      <x:c r="C582" t="str">
        <x:v>V1017</x:v>
      </x:c>
      <x:c r="D582" t="str">
        <x:v>MAT2064</x:v>
      </x:c>
      <x:c r="E582" t="n">
        <x:v>303</x:v>
      </x:c>
      <x:c r="F582" t="n">
        <x:v>303</x:v>
      </x:c>
      <x:c r="G582" s="8" t="n">
        <x:v>628.44</x:v>
      </x:c>
      <x:c r="H582" s="8" t="n">
        <x:v>190417.32</x:v>
      </x:c>
      <x:c r="I582" t="str">
        <x:v>2026-05-30</x:v>
      </x:c>
      <x:c r="J582" t="str">
        <x:v>2026-05-30</x:v>
      </x:c>
      <x:c r="K582" t="n">
        <x:v>0</x:v>
      </x:c>
      <x:c r="L582" t="str">
        <x:v>Complete</x:v>
      </x:c>
      <x:c r="M582" t="str">
        <x:v>Pending</x:v>
      </x:c>
    </x:row>
    <x:row r="583">
      <x:c r="A583" t="str">
        <x:v>PO500581</x:v>
      </x:c>
      <x:c r="B583" t="str">
        <x:v>2026-02-08</x:v>
      </x:c>
      <x:c r="C583" t="str">
        <x:v>V1029</x:v>
      </x:c>
      <x:c r="D583" t="str">
        <x:v>MAT2035</x:v>
      </x:c>
      <x:c r="E583" t="n">
        <x:v>485</x:v>
      </x:c>
      <x:c r="F583" t="n">
        <x:v>485</x:v>
      </x:c>
      <x:c r="G583" s="8" t="n">
        <x:v>65.93</x:v>
      </x:c>
      <x:c r="H583" s="8" t="n">
        <x:v>31976.05</x:v>
      </x:c>
      <x:c r="I583" t="str">
        <x:v>2026-02-17</x:v>
      </x:c>
      <x:c r="J583" t="str">
        <x:v>2026-02-17</x:v>
      </x:c>
      <x:c r="K583" t="n">
        <x:v>0</x:v>
      </x:c>
      <x:c r="L583" t="str">
        <x:v>Complete</x:v>
      </x:c>
      <x:c r="M583" t="str">
        <x:v>Matched</x:v>
      </x:c>
    </x:row>
    <x:row r="584">
      <x:c r="A584" t="str">
        <x:v>PO500582</x:v>
      </x:c>
      <x:c r="B584" t="str">
        <x:v>2026-01-14</x:v>
      </x:c>
      <x:c r="C584" t="str">
        <x:v>V1027</x:v>
      </x:c>
      <x:c r="D584" t="str">
        <x:v>MAT2028</x:v>
      </x:c>
      <x:c r="E584" t="n">
        <x:v>403</x:v>
      </x:c>
      <x:c r="F584" t="n">
        <x:v>403</x:v>
      </x:c>
      <x:c r="G584" s="8" t="n">
        <x:v>1290.38</x:v>
      </x:c>
      <x:c r="H584" s="8" t="n">
        <x:v>520023.14</x:v>
      </x:c>
      <x:c r="I584" t="str">
        <x:v>2026-01-19</x:v>
      </x:c>
      <x:c r="J584" t="str">
        <x:v>2026-01-19</x:v>
      </x:c>
      <x:c r="K584" t="n">
        <x:v>0</x:v>
      </x:c>
      <x:c r="L584" t="str">
        <x:v>Complete</x:v>
      </x:c>
      <x:c r="M584" t="str">
        <x:v>Matched</x:v>
      </x:c>
    </x:row>
    <x:row r="585">
      <x:c r="A585" t="str">
        <x:v>PO500583</x:v>
      </x:c>
      <x:c r="B585" t="str">
        <x:v>2026-03-20</x:v>
      </x:c>
      <x:c r="C585" t="str">
        <x:v>V1033</x:v>
      </x:c>
      <x:c r="D585" t="str">
        <x:v>MAT2073</x:v>
      </x:c>
      <x:c r="E585" t="n">
        <x:v>188</x:v>
      </x:c>
      <x:c r="F585" t="n">
        <x:v>188</x:v>
      </x:c>
      <x:c r="G585" s="8" t="n">
        <x:v>1331.43</x:v>
      </x:c>
      <x:c r="H585" s="8" t="n">
        <x:v>250308.84</x:v>
      </x:c>
      <x:c r="I585" t="str">
        <x:v>2026-03-27</x:v>
      </x:c>
      <x:c r="J585" t="str">
        <x:v>2026-03-27</x:v>
      </x:c>
      <x:c r="K585" t="n">
        <x:v>0</x:v>
      </x:c>
      <x:c r="L585" t="str">
        <x:v>Complete</x:v>
      </x:c>
      <x:c r="M585" t="str">
        <x:v>Mismatch</x:v>
      </x:c>
    </x:row>
    <x:row r="586">
      <x:c r="A586" t="str">
        <x:v>PO500584</x:v>
      </x:c>
      <x:c r="B586" t="str">
        <x:v>2026-07-02</x:v>
      </x:c>
      <x:c r="C586" t="str">
        <x:v>V1002</x:v>
      </x:c>
      <x:c r="D586" t="str">
        <x:v>MAT2077</x:v>
      </x:c>
      <x:c r="E586" t="n">
        <x:v>89</x:v>
      </x:c>
      <x:c r="F586" t="n">
        <x:v>89</x:v>
      </x:c>
      <x:c r="G586" s="8" t="n">
        <x:v>2218.21</x:v>
      </x:c>
      <x:c r="H586" s="8" t="n">
        <x:v>197420.69</x:v>
      </x:c>
      <x:c r="I586" t="str">
        <x:v>2026-07-19</x:v>
      </x:c>
      <x:c r="J586" t="str">
        <x:v>2026-07-19</x:v>
      </x:c>
      <x:c r="K586" t="n">
        <x:v>0</x:v>
      </x:c>
      <x:c r="L586" t="str">
        <x:v>Complete</x:v>
      </x:c>
      <x:c r="M586" t="str">
        <x:v>Mismatch</x:v>
      </x:c>
    </x:row>
    <x:row r="587">
      <x:c r="A587" t="str">
        <x:v>PO500585</x:v>
      </x:c>
      <x:c r="B587" t="str">
        <x:v>2026-08-28</x:v>
      </x:c>
      <x:c r="C587" t="str">
        <x:v>V1027</x:v>
      </x:c>
      <x:c r="D587" t="str">
        <x:v>MAT2029</x:v>
      </x:c>
      <x:c r="E587" t="n">
        <x:v>474</x:v>
      </x:c>
      <x:c r="F587" t="n">
        <x:v>474</x:v>
      </x:c>
      <x:c r="G587" s="8" t="n">
        <x:v>1341.15</x:v>
      </x:c>
      <x:c r="H587" s="8" t="n">
        <x:v>635705.1</x:v>
      </x:c>
      <x:c r="I587" t="str">
        <x:v>2026-09-04</x:v>
      </x:c>
      <x:c r="J587" t="str">
        <x:v>2026-09-05</x:v>
      </x:c>
      <x:c r="K587" t="n">
        <x:v>1</x:v>
      </x:c>
      <x:c r="L587" t="str">
        <x:v>Complete</x:v>
      </x:c>
      <x:c r="M587" t="str">
        <x:v>Matched</x:v>
      </x:c>
    </x:row>
    <x:row r="588">
      <x:c r="A588" t="str">
        <x:v>PO500586</x:v>
      </x:c>
      <x:c r="B588" t="str">
        <x:v>2026-04-13</x:v>
      </x:c>
      <x:c r="C588" t="str">
        <x:v>V1020</x:v>
      </x:c>
      <x:c r="D588" t="str">
        <x:v>MAT2055</x:v>
      </x:c>
      <x:c r="E588" t="n">
        <x:v>235</x:v>
      </x:c>
      <x:c r="F588" t="n">
        <x:v>235</x:v>
      </x:c>
      <x:c r="G588" s="8" t="n">
        <x:v>1779.92</x:v>
      </x:c>
      <x:c r="H588" s="8" t="n">
        <x:v>418281.2</x:v>
      </x:c>
      <x:c r="I588" t="str">
        <x:v>2026-04-25</x:v>
      </x:c>
      <x:c r="J588" t="str">
        <x:v>2026-04-27</x:v>
      </x:c>
      <x:c r="K588" t="n">
        <x:v>2</x:v>
      </x:c>
      <x:c r="L588" t="str">
        <x:v>Complete</x:v>
      </x:c>
      <x:c r="M588" t="str">
        <x:v>Pending</x:v>
      </x:c>
    </x:row>
    <x:row r="589">
      <x:c r="A589" t="str">
        <x:v>PO500587</x:v>
      </x:c>
      <x:c r="B589" t="str">
        <x:v>2026-05-01</x:v>
      </x:c>
      <x:c r="C589" t="str">
        <x:v>V1018</x:v>
      </x:c>
      <x:c r="D589" t="str">
        <x:v>MAT2017</x:v>
      </x:c>
      <x:c r="E589" t="n">
        <x:v>342</x:v>
      </x:c>
      <x:c r="F589" t="n">
        <x:v>331</x:v>
      </x:c>
      <x:c r="G589" s="8" t="n">
        <x:v>1257.23</x:v>
      </x:c>
      <x:c r="H589" s="8" t="n">
        <x:v>429972.66</x:v>
      </x:c>
      <x:c r="I589" t="str">
        <x:v>2026-05-19</x:v>
      </x:c>
      <x:c r="J589" t="str">
        <x:v>2026-05-27</x:v>
      </x:c>
      <x:c r="K589" t="n">
        <x:v>8</x:v>
      </x:c>
      <x:c r="L589" t="str">
        <x:v>Partial</x:v>
      </x:c>
      <x:c r="M589" t="str">
        <x:v>Matched</x:v>
      </x:c>
    </x:row>
    <x:row r="590">
      <x:c r="A590" t="str">
        <x:v>PO500588</x:v>
      </x:c>
      <x:c r="B590" t="str">
        <x:v>2026-07-31</x:v>
      </x:c>
      <x:c r="C590" t="str">
        <x:v>V1024</x:v>
      </x:c>
      <x:c r="D590" t="str">
        <x:v>MAT2018</x:v>
      </x:c>
      <x:c r="E590" t="n">
        <x:v>347</x:v>
      </x:c>
      <x:c r="F590" t="n">
        <x:v>347</x:v>
      </x:c>
      <x:c r="G590" s="8" t="n">
        <x:v>440.93</x:v>
      </x:c>
      <x:c r="H590" s="8" t="n">
        <x:v>153002.71</x:v>
      </x:c>
      <x:c r="I590" t="str">
        <x:v>2026-08-05</x:v>
      </x:c>
      <x:c r="J590" t="str">
        <x:v>2026-08-05</x:v>
      </x:c>
      <x:c r="K590" t="n">
        <x:v>0</x:v>
      </x:c>
      <x:c r="L590" t="str">
        <x:v>Complete</x:v>
      </x:c>
      <x:c r="M590" t="str">
        <x:v>Matched</x:v>
      </x:c>
    </x:row>
    <x:row r="591">
      <x:c r="A591" t="str">
        <x:v>PO500589</x:v>
      </x:c>
      <x:c r="B591" t="str">
        <x:v>2026-07-19</x:v>
      </x:c>
      <x:c r="C591" t="str">
        <x:v>V1008</x:v>
      </x:c>
      <x:c r="D591" t="str">
        <x:v>MAT2012</x:v>
      </x:c>
      <x:c r="E591" t="n">
        <x:v>153</x:v>
      </x:c>
      <x:c r="F591" t="n">
        <x:v>153</x:v>
      </x:c>
      <x:c r="G591" s="8" t="n">
        <x:v>923.4</x:v>
      </x:c>
      <x:c r="H591" s="8" t="n">
        <x:v>141280.2</x:v>
      </x:c>
      <x:c r="I591" t="str">
        <x:v>2026-07-24</x:v>
      </x:c>
      <x:c r="J591" t="str">
        <x:v>2026-07-24</x:v>
      </x:c>
      <x:c r="K591" t="n">
        <x:v>0</x:v>
      </x:c>
      <x:c r="L591" t="str">
        <x:v>Complete</x:v>
      </x:c>
      <x:c r="M591" t="str">
        <x:v>Mismatch</x:v>
      </x:c>
    </x:row>
    <x:row r="592">
      <x:c r="A592" t="str">
        <x:v>PO500590</x:v>
      </x:c>
      <x:c r="B592" t="str">
        <x:v>2026-08-01</x:v>
      </x:c>
      <x:c r="C592" t="str">
        <x:v>V1031</x:v>
      </x:c>
      <x:c r="D592" t="str">
        <x:v>MAT2045</x:v>
      </x:c>
      <x:c r="E592" t="n">
        <x:v>228</x:v>
      </x:c>
      <x:c r="F592" t="n">
        <x:v>228</x:v>
      </x:c>
      <x:c r="G592" s="8" t="n">
        <x:v>179.49</x:v>
      </x:c>
      <x:c r="H592" s="8" t="n">
        <x:v>40923.72</x:v>
      </x:c>
      <x:c r="I592" t="str">
        <x:v>2026-08-13</x:v>
      </x:c>
      <x:c r="J592" t="str">
        <x:v>2026-08-13</x:v>
      </x:c>
      <x:c r="K592" t="n">
        <x:v>0</x:v>
      </x:c>
      <x:c r="L592" t="str">
        <x:v>Complete</x:v>
      </x:c>
      <x:c r="M592" t="str">
        <x:v>Pending</x:v>
      </x:c>
    </x:row>
    <x:row r="593">
      <x:c r="A593" t="str">
        <x:v>PO500591</x:v>
      </x:c>
      <x:c r="B593" t="str">
        <x:v>2026-04-10</x:v>
      </x:c>
      <x:c r="C593" t="str">
        <x:v>V1024</x:v>
      </x:c>
      <x:c r="D593" t="str">
        <x:v>MAT2011</x:v>
      </x:c>
      <x:c r="E593" t="n">
        <x:v>459</x:v>
      </x:c>
      <x:c r="F593" t="n">
        <x:v>459</x:v>
      </x:c>
      <x:c r="G593" s="8" t="n">
        <x:v>237.23</x:v>
      </x:c>
      <x:c r="H593" s="8" t="n">
        <x:v>108888.57</x:v>
      </x:c>
      <x:c r="I593" t="str">
        <x:v>2026-04-20</x:v>
      </x:c>
      <x:c r="J593" t="str">
        <x:v>2026-04-20</x:v>
      </x:c>
      <x:c r="K593" t="n">
        <x:v>0</x:v>
      </x:c>
      <x:c r="L593" t="str">
        <x:v>Complete</x:v>
      </x:c>
      <x:c r="M593" t="str">
        <x:v>Pending</x:v>
      </x:c>
    </x:row>
    <x:row r="594">
      <x:c r="A594" t="str">
        <x:v>PO500592</x:v>
      </x:c>
      <x:c r="B594" t="str">
        <x:v>2026-01-29</x:v>
      </x:c>
      <x:c r="C594" t="str">
        <x:v>V1021</x:v>
      </x:c>
      <x:c r="D594" t="str">
        <x:v>MAT2014</x:v>
      </x:c>
      <x:c r="E594" t="n">
        <x:v>120</x:v>
      </x:c>
      <x:c r="F594" t="n">
        <x:v>120</x:v>
      </x:c>
      <x:c r="G594" s="8" t="n">
        <x:v>346.71</x:v>
      </x:c>
      <x:c r="H594" s="8" t="n">
        <x:v>41605.2</x:v>
      </x:c>
      <x:c r="I594" t="str">
        <x:v>2026-02-05</x:v>
      </x:c>
      <x:c r="J594" t="str">
        <x:v>2026-02-05</x:v>
      </x:c>
      <x:c r="K594" t="n">
        <x:v>0</x:v>
      </x:c>
      <x:c r="L594" t="str">
        <x:v>Complete</x:v>
      </x:c>
      <x:c r="M594" t="str">
        <x:v>Matched</x:v>
      </x:c>
    </x:row>
    <x:row r="595">
      <x:c r="A595" t="str">
        <x:v>PO500593</x:v>
      </x:c>
      <x:c r="B595" t="str">
        <x:v>2026-01-02</x:v>
      </x:c>
      <x:c r="C595" t="str">
        <x:v>V1021</x:v>
      </x:c>
      <x:c r="D595" t="str">
        <x:v>MAT2071</x:v>
      </x:c>
      <x:c r="E595" t="n">
        <x:v>5</x:v>
      </x:c>
      <x:c r="F595" t="n">
        <x:v>5</x:v>
      </x:c>
      <x:c r="G595" s="8" t="n">
        <x:v>1761.09</x:v>
      </x:c>
      <x:c r="H595" s="8" t="n">
        <x:v>8805.45</x:v>
      </x:c>
      <x:c r="I595" t="str">
        <x:v>2026-01-20</x:v>
      </x:c>
      <x:c r="J595" t="str">
        <x:v>2026-01-20</x:v>
      </x:c>
      <x:c r="K595" t="n">
        <x:v>0</x:v>
      </x:c>
      <x:c r="L595" t="str">
        <x:v>Complete</x:v>
      </x:c>
      <x:c r="M595" t="str">
        <x:v>Pending</x:v>
      </x:c>
    </x:row>
    <x:row r="596">
      <x:c r="A596" t="str">
        <x:v>PO500594</x:v>
      </x:c>
      <x:c r="B596" t="str">
        <x:v>2026-01-09</x:v>
      </x:c>
      <x:c r="C596" t="str">
        <x:v>V1034</x:v>
      </x:c>
      <x:c r="D596" t="str">
        <x:v>MAT2006</x:v>
      </x:c>
      <x:c r="E596" t="n">
        <x:v>41</x:v>
      </x:c>
      <x:c r="F596" t="n">
        <x:v>41</x:v>
      </x:c>
      <x:c r="G596" s="8" t="n">
        <x:v>27.49</x:v>
      </x:c>
      <x:c r="H596" s="8" t="n">
        <x:v>1127.09</x:v>
      </x:c>
      <x:c r="I596" t="str">
        <x:v>2026-01-24</x:v>
      </x:c>
      <x:c r="J596" t="str">
        <x:v>2026-01-24</x:v>
      </x:c>
      <x:c r="K596" t="n">
        <x:v>0</x:v>
      </x:c>
      <x:c r="L596" t="str">
        <x:v>Complete</x:v>
      </x:c>
      <x:c r="M596" t="str">
        <x:v>Matched</x:v>
      </x:c>
    </x:row>
    <x:row r="597">
      <x:c r="A597" t="str">
        <x:v>PO500595</x:v>
      </x:c>
      <x:c r="B597" t="str">
        <x:v>2026-05-01</x:v>
      </x:c>
      <x:c r="C597" t="str">
        <x:v>V1016</x:v>
      </x:c>
      <x:c r="D597" t="str">
        <x:v>MAT2032</x:v>
      </x:c>
      <x:c r="E597" t="n">
        <x:v>400</x:v>
      </x:c>
      <x:c r="F597" t="n">
        <x:v>400</x:v>
      </x:c>
      <x:c r="G597" s="8" t="n">
        <x:v>2093.65</x:v>
      </x:c>
      <x:c r="H597" s="8" t="n">
        <x:v>837460</x:v>
      </x:c>
      <x:c r="I597" t="str">
        <x:v>2026-05-14</x:v>
      </x:c>
      <x:c r="J597" t="str">
        <x:v>2026-05-14</x:v>
      </x:c>
      <x:c r="K597" t="n">
        <x:v>0</x:v>
      </x:c>
      <x:c r="L597" t="str">
        <x:v>Complete</x:v>
      </x:c>
      <x:c r="M597" t="str">
        <x:v>Matched</x:v>
      </x:c>
    </x:row>
    <x:row r="598">
      <x:c r="A598" t="str">
        <x:v>PO500596</x:v>
      </x:c>
      <x:c r="B598" t="str">
        <x:v>2026-03-02</x:v>
      </x:c>
      <x:c r="C598" t="str">
        <x:v>V1029</x:v>
      </x:c>
      <x:c r="D598" t="str">
        <x:v>MAT2014</x:v>
      </x:c>
      <x:c r="E598" t="n">
        <x:v>237</x:v>
      </x:c>
      <x:c r="F598" t="n">
        <x:v>237</x:v>
      </x:c>
      <x:c r="G598" s="8" t="n">
        <x:v>940.4</x:v>
      </x:c>
      <x:c r="H598" s="8" t="n">
        <x:v>222874.8</x:v>
      </x:c>
      <x:c r="I598" t="str">
        <x:v>2026-03-12</x:v>
      </x:c>
      <x:c r="J598" t="str">
        <x:v>2026-03-12</x:v>
      </x:c>
      <x:c r="K598" t="n">
        <x:v>0</x:v>
      </x:c>
      <x:c r="L598" t="str">
        <x:v>Complete</x:v>
      </x:c>
      <x:c r="M598" t="str">
        <x:v>Matched</x:v>
      </x:c>
    </x:row>
    <x:row r="599">
      <x:c r="A599" t="str">
        <x:v>PO500597</x:v>
      </x:c>
      <x:c r="B599" t="str">
        <x:v>2026-04-25</x:v>
      </x:c>
      <x:c r="C599" t="str">
        <x:v>V1030</x:v>
      </x:c>
      <x:c r="D599" t="str">
        <x:v>MAT2072</x:v>
      </x:c>
      <x:c r="E599" t="n">
        <x:v>415</x:v>
      </x:c>
      <x:c r="F599" t="n">
        <x:v>415</x:v>
      </x:c>
      <x:c r="G599" s="8" t="n">
        <x:v>1986.23</x:v>
      </x:c>
      <x:c r="H599" s="8" t="n">
        <x:v>824285.45</x:v>
      </x:c>
      <x:c r="I599" t="str">
        <x:v>2026-05-05</x:v>
      </x:c>
      <x:c r="J599" t="str">
        <x:v>2026-05-05</x:v>
      </x:c>
      <x:c r="K599" t="n">
        <x:v>0</x:v>
      </x:c>
      <x:c r="L599" t="str">
        <x:v>Complete</x:v>
      </x:c>
      <x:c r="M599" t="str">
        <x:v>Matched</x:v>
      </x:c>
    </x:row>
    <x:row r="600">
      <x:c r="A600" t="str">
        <x:v>PO500598</x:v>
      </x:c>
      <x:c r="B600" t="str">
        <x:v>2026-05-13</x:v>
      </x:c>
      <x:c r="C600" t="str">
        <x:v>V1011</x:v>
      </x:c>
      <x:c r="D600" t="str">
        <x:v>MAT2076</x:v>
      </x:c>
      <x:c r="E600" t="n">
        <x:v>59</x:v>
      </x:c>
      <x:c r="F600" t="n">
        <x:v>55</x:v>
      </x:c>
      <x:c r="G600" s="8" t="n">
        <x:v>153.51</x:v>
      </x:c>
      <x:c r="H600" s="8" t="n">
        <x:v>9057.09</x:v>
      </x:c>
      <x:c r="I600" t="str">
        <x:v>2026-05-30</x:v>
      </x:c>
      <x:c r="J600" t="str">
        <x:v>2026-05-30</x:v>
      </x:c>
      <x:c r="K600" t="n">
        <x:v>0</x:v>
      </x:c>
      <x:c r="L600" t="str">
        <x:v>Partial</x:v>
      </x:c>
      <x:c r="M600" t="str">
        <x:v>Matched</x:v>
      </x:c>
    </x:row>
    <x:row r="601">
      <x:c r="A601" t="str">
        <x:v>PO500599</x:v>
      </x:c>
      <x:c r="B601" t="str">
        <x:v>2026-03-18</x:v>
      </x:c>
      <x:c r="C601" t="str">
        <x:v>V1030</x:v>
      </x:c>
      <x:c r="D601" t="str">
        <x:v>MAT2025</x:v>
      </x:c>
      <x:c r="E601" t="n">
        <x:v>255</x:v>
      </x:c>
      <x:c r="F601" t="n">
        <x:v>255</x:v>
      </x:c>
      <x:c r="G601" s="8" t="n">
        <x:v>930.9</x:v>
      </x:c>
      <x:c r="H601" s="8" t="n">
        <x:v>237379.5</x:v>
      </x:c>
      <x:c r="I601" t="str">
        <x:v>2026-04-02</x:v>
      </x:c>
      <x:c r="J601" t="str">
        <x:v>2026-04-02</x:v>
      </x:c>
      <x:c r="K601" t="n">
        <x:v>0</x:v>
      </x:c>
      <x:c r="L601" t="str">
        <x:v>Complete</x:v>
      </x:c>
      <x:c r="M601" t="str">
        <x:v>Matched</x:v>
      </x:c>
    </x:row>
    <x:row r="602">
      <x:c r="A602" t="str">
        <x:v>PO500600</x:v>
      </x:c>
      <x:c r="B602" t="str">
        <x:v>2026-07-16</x:v>
      </x:c>
      <x:c r="C602" t="str">
        <x:v>V1030</x:v>
      </x:c>
      <x:c r="D602" t="str">
        <x:v>MAT2002</x:v>
      </x:c>
      <x:c r="E602" t="n">
        <x:v>245</x:v>
      </x:c>
      <x:c r="F602" t="n">
        <x:v>245</x:v>
      </x:c>
      <x:c r="G602" s="8" t="n">
        <x:v>1291.75</x:v>
      </x:c>
      <x:c r="H602" s="8" t="n">
        <x:v>316478.75</x:v>
      </x:c>
      <x:c r="I602" t="str">
        <x:v>2026-07-20</x:v>
      </x:c>
      <x:c r="J602" t="str">
        <x:v>2026-07-21</x:v>
      </x:c>
      <x:c r="K602" t="n">
        <x:v>1</x:v>
      </x:c>
      <x:c r="L602" t="str">
        <x:v>Complete</x:v>
      </x:c>
      <x:c r="M602" t="str">
        <x:v>Matched</x:v>
      </x:c>
    </x:row>
    <x:row r="603">
      <x:c r="A603" t="str">
        <x:v>PO500601</x:v>
      </x:c>
      <x:c r="B603" t="str">
        <x:v>2026-04-16</x:v>
      </x:c>
      <x:c r="C603" t="str">
        <x:v>V1006</x:v>
      </x:c>
      <x:c r="D603" t="str">
        <x:v>MAT2062</x:v>
      </x:c>
      <x:c r="E603" t="n">
        <x:v>335</x:v>
      </x:c>
      <x:c r="F603" t="n">
        <x:v>335</x:v>
      </x:c>
      <x:c r="G603" s="8" t="n">
        <x:v>1869.44</x:v>
      </x:c>
      <x:c r="H603" s="8" t="n">
        <x:v>626262.4</x:v>
      </x:c>
      <x:c r="I603" t="str">
        <x:v>2026-04-21</x:v>
      </x:c>
      <x:c r="J603" t="str">
        <x:v>2026-04-22</x:v>
      </x:c>
      <x:c r="K603" t="n">
        <x:v>1</x:v>
      </x:c>
      <x:c r="L603" t="str">
        <x:v>Complete</x:v>
      </x:c>
      <x:c r="M603" t="str">
        <x:v>Pending</x:v>
      </x:c>
    </x:row>
    <x:row r="604">
      <x:c r="A604" t="str">
        <x:v>PO500602</x:v>
      </x:c>
      <x:c r="B604" t="str">
        <x:v>2026-08-09</x:v>
      </x:c>
      <x:c r="C604" t="str">
        <x:v>V1011</x:v>
      </x:c>
      <x:c r="D604" t="str">
        <x:v>MAT2015</x:v>
      </x:c>
      <x:c r="E604" t="n">
        <x:v>176</x:v>
      </x:c>
      <x:c r="F604" t="n">
        <x:v>176</x:v>
      </x:c>
      <x:c r="G604" s="8" t="n">
        <x:v>119.08</x:v>
      </x:c>
      <x:c r="H604" s="8" t="n">
        <x:v>20958.08</x:v>
      </x:c>
      <x:c r="I604" t="str">
        <x:v>2026-08-20</x:v>
      </x:c>
      <x:c r="J604" t="str">
        <x:v>2026-08-20</x:v>
      </x:c>
      <x:c r="K604" t="n">
        <x:v>0</x:v>
      </x:c>
      <x:c r="L604" t="str">
        <x:v>Complete</x:v>
      </x:c>
      <x:c r="M604" t="str">
        <x:v>Matched</x:v>
      </x:c>
    </x:row>
    <x:row r="605">
      <x:c r="A605" t="str">
        <x:v>PO500603</x:v>
      </x:c>
      <x:c r="B605" t="str">
        <x:v>2026-01-22</x:v>
      </x:c>
      <x:c r="C605" t="str">
        <x:v>V1011</x:v>
      </x:c>
      <x:c r="D605" t="str">
        <x:v>MAT2022</x:v>
      </x:c>
      <x:c r="E605" t="n">
        <x:v>269</x:v>
      </x:c>
      <x:c r="F605" t="n">
        <x:v>269</x:v>
      </x:c>
      <x:c r="G605" s="8" t="n">
        <x:v>2498.56</x:v>
      </x:c>
      <x:c r="H605" s="8" t="n">
        <x:v>672112.64</x:v>
      </x:c>
      <x:c r="I605" t="str">
        <x:v>2026-02-06</x:v>
      </x:c>
      <x:c r="J605" t="str">
        <x:v>2026-02-06</x:v>
      </x:c>
      <x:c r="K605" t="n">
        <x:v>0</x:v>
      </x:c>
      <x:c r="L605" t="str">
        <x:v>Complete</x:v>
      </x:c>
      <x:c r="M605" t="str">
        <x:v>Matched</x:v>
      </x:c>
    </x:row>
    <x:row r="606">
      <x:c r="A606" t="str">
        <x:v>PO500604</x:v>
      </x:c>
      <x:c r="B606" t="str">
        <x:v>2026-08-26</x:v>
      </x:c>
      <x:c r="C606" t="str">
        <x:v>V1032</x:v>
      </x:c>
      <x:c r="D606" t="str">
        <x:v>MAT2033</x:v>
      </x:c>
      <x:c r="E606" t="n">
        <x:v>451</x:v>
      </x:c>
      <x:c r="F606" t="n">
        <x:v>451</x:v>
      </x:c>
      <x:c r="G606" s="8" t="n">
        <x:v>27.05</x:v>
      </x:c>
      <x:c r="H606" s="8" t="n">
        <x:v>12199.55</x:v>
      </x:c>
      <x:c r="I606" t="str">
        <x:v>2026-09-05</x:v>
      </x:c>
      <x:c r="J606" t="str">
        <x:v>2026-09-05</x:v>
      </x:c>
      <x:c r="K606" t="n">
        <x:v>0</x:v>
      </x:c>
      <x:c r="L606" t="str">
        <x:v>Complete</x:v>
      </x:c>
      <x:c r="M606" t="str">
        <x:v>Matched</x:v>
      </x:c>
    </x:row>
    <x:row r="607">
      <x:c r="A607" t="str">
        <x:v>PO500605</x:v>
      </x:c>
      <x:c r="B607" t="str">
        <x:v>2026-08-15</x:v>
      </x:c>
      <x:c r="C607" t="str">
        <x:v>V1003</x:v>
      </x:c>
      <x:c r="D607" t="str">
        <x:v>MAT2045</x:v>
      </x:c>
      <x:c r="E607" t="n">
        <x:v>452</x:v>
      </x:c>
      <x:c r="F607" t="n">
        <x:v>452</x:v>
      </x:c>
      <x:c r="G607" s="8" t="n">
        <x:v>1525.74</x:v>
      </x:c>
      <x:c r="H607" s="8" t="n">
        <x:v>689634.48</x:v>
      </x:c>
      <x:c r="I607" t="str">
        <x:v>2026-08-28</x:v>
      </x:c>
      <x:c r="J607" t="str">
        <x:v>2026-08-29</x:v>
      </x:c>
      <x:c r="K607" t="n">
        <x:v>1</x:v>
      </x:c>
      <x:c r="L607" t="str">
        <x:v>Complete</x:v>
      </x:c>
      <x:c r="M607" t="str">
        <x:v>Matched</x:v>
      </x:c>
    </x:row>
    <x:row r="608">
      <x:c r="A608" t="str">
        <x:v>PO500606</x:v>
      </x:c>
      <x:c r="B608" t="str">
        <x:v>2026-06-25</x:v>
      </x:c>
      <x:c r="C608" t="str">
        <x:v>V1032</x:v>
      </x:c>
      <x:c r="D608" t="str">
        <x:v>MAT2049</x:v>
      </x:c>
      <x:c r="E608" t="n">
        <x:v>458</x:v>
      </x:c>
      <x:c r="F608" t="n">
        <x:v>458</x:v>
      </x:c>
      <x:c r="G608" s="8" t="n">
        <x:v>303.38</x:v>
      </x:c>
      <x:c r="H608" s="8" t="n">
        <x:v>138948.04</x:v>
      </x:c>
      <x:c r="I608" t="str">
        <x:v>2026-07-11</x:v>
      </x:c>
      <x:c r="J608" t="str">
        <x:v>2026-07-13</x:v>
      </x:c>
      <x:c r="K608" t="n">
        <x:v>2</x:v>
      </x:c>
      <x:c r="L608" t="str">
        <x:v>Complete</x:v>
      </x:c>
      <x:c r="M608" t="str">
        <x:v>Matched</x:v>
      </x:c>
    </x:row>
    <x:row r="609">
      <x:c r="A609" t="str">
        <x:v>PO500607</x:v>
      </x:c>
      <x:c r="B609" t="str">
        <x:v>2026-07-12</x:v>
      </x:c>
      <x:c r="C609" t="str">
        <x:v>V1016</x:v>
      </x:c>
      <x:c r="D609" t="str">
        <x:v>MAT2064</x:v>
      </x:c>
      <x:c r="E609" t="n">
        <x:v>132</x:v>
      </x:c>
      <x:c r="F609" t="n">
        <x:v>119</x:v>
      </x:c>
      <x:c r="G609" s="8" t="n">
        <x:v>1839.39</x:v>
      </x:c>
      <x:c r="H609" s="8" t="n">
        <x:v>242799.48</x:v>
      </x:c>
      <x:c r="I609" t="str">
        <x:v>2026-07-20</x:v>
      </x:c>
      <x:c r="J609" t="str">
        <x:v>2026-07-20</x:v>
      </x:c>
      <x:c r="K609" t="n">
        <x:v>0</x:v>
      </x:c>
      <x:c r="L609" t="str">
        <x:v>Partial</x:v>
      </x:c>
      <x:c r="M609" t="str">
        <x:v>Pending</x:v>
      </x:c>
    </x:row>
    <x:row r="610">
      <x:c r="A610" t="str">
        <x:v>PO500608</x:v>
      </x:c>
      <x:c r="B610" t="str">
        <x:v>2026-03-24</x:v>
      </x:c>
      <x:c r="C610" t="str">
        <x:v>V1024</x:v>
      </x:c>
      <x:c r="D610" t="str">
        <x:v>MAT2013</x:v>
      </x:c>
      <x:c r="E610" t="n">
        <x:v>481</x:v>
      </x:c>
      <x:c r="F610" t="n">
        <x:v>481</x:v>
      </x:c>
      <x:c r="G610" s="8" t="n">
        <x:v>769.86</x:v>
      </x:c>
      <x:c r="H610" s="8" t="n">
        <x:v>370302.66</x:v>
      </x:c>
      <x:c r="I610" t="str">
        <x:v>2026-04-10</x:v>
      </x:c>
      <x:c r="J610" t="str">
        <x:v>2026-04-10</x:v>
      </x:c>
      <x:c r="K610" t="n">
        <x:v>0</x:v>
      </x:c>
      <x:c r="L610" t="str">
        <x:v>Complete</x:v>
      </x:c>
      <x:c r="M610" t="str">
        <x:v>Matched</x:v>
      </x:c>
    </x:row>
    <x:row r="611">
      <x:c r="A611" t="str">
        <x:v>PO500609</x:v>
      </x:c>
      <x:c r="B611" t="str">
        <x:v>2026-03-21</x:v>
      </x:c>
      <x:c r="C611" t="str">
        <x:v>V1030</x:v>
      </x:c>
      <x:c r="D611" t="str">
        <x:v>MAT2053</x:v>
      </x:c>
      <x:c r="E611" t="n">
        <x:v>166</x:v>
      </x:c>
      <x:c r="F611" t="n">
        <x:v>166</x:v>
      </x:c>
      <x:c r="G611" s="8" t="n">
        <x:v>311.9</x:v>
      </x:c>
      <x:c r="H611" s="8" t="n">
        <x:v>51775.4</x:v>
      </x:c>
      <x:c r="I611" t="str">
        <x:v>2026-04-02</x:v>
      </x:c>
      <x:c r="J611" t="str">
        <x:v>2026-04-02</x:v>
      </x:c>
      <x:c r="K611" t="n">
        <x:v>0</x:v>
      </x:c>
      <x:c r="L611" t="str">
        <x:v>Complete</x:v>
      </x:c>
      <x:c r="M611" t="str">
        <x:v>Matched</x:v>
      </x:c>
    </x:row>
    <x:row r="612">
      <x:c r="A612" t="str">
        <x:v>PO500610</x:v>
      </x:c>
      <x:c r="B612" t="str">
        <x:v>2026-01-31</x:v>
      </x:c>
      <x:c r="C612" t="str">
        <x:v>V1001</x:v>
      </x:c>
      <x:c r="D612" t="str">
        <x:v>MAT2004</x:v>
      </x:c>
      <x:c r="E612" t="n">
        <x:v>71</x:v>
      </x:c>
      <x:c r="F612" t="n">
        <x:v>71</x:v>
      </x:c>
      <x:c r="G612" s="8" t="n">
        <x:v>806.13</x:v>
      </x:c>
      <x:c r="H612" s="8" t="n">
        <x:v>57235.23</x:v>
      </x:c>
      <x:c r="I612" t="str">
        <x:v>2026-02-13</x:v>
      </x:c>
      <x:c r="J612" t="str">
        <x:v>2026-02-15</x:v>
      </x:c>
      <x:c r="K612" t="n">
        <x:v>2</x:v>
      </x:c>
      <x:c r="L612" t="str">
        <x:v>Complete</x:v>
      </x:c>
      <x:c r="M612" t="str">
        <x:v>Matched</x:v>
      </x:c>
    </x:row>
    <x:row r="613">
      <x:c r="A613" t="str">
        <x:v>PO500611</x:v>
      </x:c>
      <x:c r="B613" t="str">
        <x:v>2026-07-04</x:v>
      </x:c>
      <x:c r="C613" t="str">
        <x:v>V1003</x:v>
      </x:c>
      <x:c r="D613" t="str">
        <x:v>MAT2046</x:v>
      </x:c>
      <x:c r="E613" t="n">
        <x:v>481</x:v>
      </x:c>
      <x:c r="F613" t="n">
        <x:v>467</x:v>
      </x:c>
      <x:c r="G613" s="8" t="n">
        <x:v>298.07</x:v>
      </x:c>
      <x:c r="H613" s="8" t="n">
        <x:v>143371.67</x:v>
      </x:c>
      <x:c r="I613" t="str">
        <x:v>2026-07-12</x:v>
      </x:c>
      <x:c r="J613" t="str">
        <x:v>2026-07-12</x:v>
      </x:c>
      <x:c r="K613" t="n">
        <x:v>0</x:v>
      </x:c>
      <x:c r="L613" t="str">
        <x:v>Partial</x:v>
      </x:c>
      <x:c r="M613" t="str">
        <x:v>Pending</x:v>
      </x:c>
    </x:row>
    <x:row r="614">
      <x:c r="A614" t="str">
        <x:v>PO500612</x:v>
      </x:c>
      <x:c r="B614" t="str">
        <x:v>2026-08-06</x:v>
      </x:c>
      <x:c r="C614" t="str">
        <x:v>V1027</x:v>
      </x:c>
      <x:c r="D614" t="str">
        <x:v>MAT2064</x:v>
      </x:c>
      <x:c r="E614" t="n">
        <x:v>113</x:v>
      </x:c>
      <x:c r="F614" t="n">
        <x:v>113</x:v>
      </x:c>
      <x:c r="G614" s="8" t="n">
        <x:v>1222.37</x:v>
      </x:c>
      <x:c r="H614" s="8" t="n">
        <x:v>138127.81</x:v>
      </x:c>
      <x:c r="I614" t="str">
        <x:v>2026-08-13</x:v>
      </x:c>
      <x:c r="J614" t="str">
        <x:v>2026-08-13</x:v>
      </x:c>
      <x:c r="K614" t="n">
        <x:v>0</x:v>
      </x:c>
      <x:c r="L614" t="str">
        <x:v>Complete</x:v>
      </x:c>
      <x:c r="M614" t="str">
        <x:v>Pending</x:v>
      </x:c>
    </x:row>
    <x:row r="615">
      <x:c r="A615" t="str">
        <x:v>PO500613</x:v>
      </x:c>
      <x:c r="B615" t="str">
        <x:v>2026-08-27</x:v>
      </x:c>
      <x:c r="C615" t="str">
        <x:v>V1010</x:v>
      </x:c>
      <x:c r="D615" t="str">
        <x:v>MAT2060</x:v>
      </x:c>
      <x:c r="E615" t="n">
        <x:v>227</x:v>
      </x:c>
      <x:c r="F615" t="n">
        <x:v>227</x:v>
      </x:c>
      <x:c r="G615" s="8" t="n">
        <x:v>1838.33</x:v>
      </x:c>
      <x:c r="H615" s="8" t="n">
        <x:v>417300.91</x:v>
      </x:c>
      <x:c r="I615" t="str">
        <x:v>2026-09-09</x:v>
      </x:c>
      <x:c r="J615" t="str">
        <x:v>2026-09-09</x:v>
      </x:c>
      <x:c r="K615" t="n">
        <x:v>0</x:v>
      </x:c>
      <x:c r="L615" t="str">
        <x:v>Complete</x:v>
      </x:c>
      <x:c r="M615" t="str">
        <x:v>Mismatch</x:v>
      </x:c>
    </x:row>
    <x:row r="616">
      <x:c r="A616" t="str">
        <x:v>PO500614</x:v>
      </x:c>
      <x:c r="B616" t="str">
        <x:v>2026-07-23</x:v>
      </x:c>
      <x:c r="C616" t="str">
        <x:v>V1013</x:v>
      </x:c>
      <x:c r="D616" t="str">
        <x:v>MAT2050</x:v>
      </x:c>
      <x:c r="E616" t="n">
        <x:v>115</x:v>
      </x:c>
      <x:c r="F616" t="n">
        <x:v>115</x:v>
      </x:c>
      <x:c r="G616" s="8" t="n">
        <x:v>741.16</x:v>
      </x:c>
      <x:c r="H616" s="8" t="n">
        <x:v>85233.4</x:v>
      </x:c>
      <x:c r="I616" t="str">
        <x:v>2026-08-11</x:v>
      </x:c>
      <x:c r="J616" t="str">
        <x:v>2026-08-11</x:v>
      </x:c>
      <x:c r="K616" t="n">
        <x:v>0</x:v>
      </x:c>
      <x:c r="L616" t="str">
        <x:v>Complete</x:v>
      </x:c>
      <x:c r="M616" t="str">
        <x:v>Mismatch</x:v>
      </x:c>
    </x:row>
    <x:row r="617">
      <x:c r="A617" t="str">
        <x:v>PO500615</x:v>
      </x:c>
      <x:c r="B617" t="str">
        <x:v>2026-08-02</x:v>
      </x:c>
      <x:c r="C617" t="str">
        <x:v>V1023</x:v>
      </x:c>
      <x:c r="D617" t="str">
        <x:v>MAT2038</x:v>
      </x:c>
      <x:c r="E617" t="n">
        <x:v>445</x:v>
      </x:c>
      <x:c r="F617" t="n">
        <x:v>445</x:v>
      </x:c>
      <x:c r="G617" s="8" t="n">
        <x:v>1061.38</x:v>
      </x:c>
      <x:c r="H617" s="8" t="n">
        <x:v>472314.1</x:v>
      </x:c>
      <x:c r="I617" t="str">
        <x:v>2026-08-09</x:v>
      </x:c>
      <x:c r="J617" t="str">
        <x:v>2026-08-09</x:v>
      </x:c>
      <x:c r="K617" t="n">
        <x:v>0</x:v>
      </x:c>
      <x:c r="L617" t="str">
        <x:v>Complete</x:v>
      </x:c>
      <x:c r="M617" t="str">
        <x:v>Pending</x:v>
      </x:c>
    </x:row>
    <x:row r="618">
      <x:c r="A618" t="str">
        <x:v>PO500616</x:v>
      </x:c>
      <x:c r="B618" t="str">
        <x:v>2026-02-16</x:v>
      </x:c>
      <x:c r="C618" t="str">
        <x:v>V1005</x:v>
      </x:c>
      <x:c r="D618" t="str">
        <x:v>MAT2040</x:v>
      </x:c>
      <x:c r="E618" t="n">
        <x:v>326</x:v>
      </x:c>
      <x:c r="F618" t="n">
        <x:v>298</x:v>
      </x:c>
      <x:c r="G618" s="8" t="n">
        <x:v>1145.23</x:v>
      </x:c>
      <x:c r="H618" s="8" t="n">
        <x:v>373344.98</x:v>
      </x:c>
      <x:c r="I618" t="str">
        <x:v>2026-02-25</x:v>
      </x:c>
      <x:c r="J618" t="str">
        <x:v>2026-02-25</x:v>
      </x:c>
      <x:c r="K618" t="n">
        <x:v>0</x:v>
      </x:c>
      <x:c r="L618" t="str">
        <x:v>Partial</x:v>
      </x:c>
      <x:c r="M618" t="str">
        <x:v>Pending</x:v>
      </x:c>
    </x:row>
    <x:row r="619">
      <x:c r="A619" t="str">
        <x:v>PO500617</x:v>
      </x:c>
      <x:c r="B619" t="str">
        <x:v>2026-05-19</x:v>
      </x:c>
      <x:c r="C619" t="str">
        <x:v>V1026</x:v>
      </x:c>
      <x:c r="D619" t="str">
        <x:v>MAT2062</x:v>
      </x:c>
      <x:c r="E619" t="n">
        <x:v>119</x:v>
      </x:c>
      <x:c r="F619" t="n">
        <x:v>119</x:v>
      </x:c>
      <x:c r="G619" s="8" t="n">
        <x:v>1723.87</x:v>
      </x:c>
      <x:c r="H619" s="8" t="n">
        <x:v>205140.53</x:v>
      </x:c>
      <x:c r="I619" t="str">
        <x:v>2026-05-28</x:v>
      </x:c>
      <x:c r="J619" t="str">
        <x:v>2026-05-28</x:v>
      </x:c>
      <x:c r="K619" t="n">
        <x:v>0</x:v>
      </x:c>
      <x:c r="L619" t="str">
        <x:v>Complete</x:v>
      </x:c>
      <x:c r="M619" t="str">
        <x:v>Pending</x:v>
      </x:c>
    </x:row>
    <x:row r="620">
      <x:c r="A620" t="str">
        <x:v>PO500618</x:v>
      </x:c>
      <x:c r="B620" t="str">
        <x:v>2026-03-04</x:v>
      </x:c>
      <x:c r="C620" t="str">
        <x:v>V1030</x:v>
      </x:c>
      <x:c r="D620" t="str">
        <x:v>MAT2073</x:v>
      </x:c>
      <x:c r="E620" t="n">
        <x:v>163</x:v>
      </x:c>
      <x:c r="F620" t="n">
        <x:v>163</x:v>
      </x:c>
      <x:c r="G620" s="8" t="n">
        <x:v>1990.97</x:v>
      </x:c>
      <x:c r="H620" s="8" t="n">
        <x:v>324528.11</x:v>
      </x:c>
      <x:c r="I620" t="str">
        <x:v>2026-03-24</x:v>
      </x:c>
      <x:c r="J620" t="str">
        <x:v>2026-03-24</x:v>
      </x:c>
      <x:c r="K620" t="n">
        <x:v>0</x:v>
      </x:c>
      <x:c r="L620" t="str">
        <x:v>Complete</x:v>
      </x:c>
      <x:c r="M620" t="str">
        <x:v>Mismatch</x:v>
      </x:c>
    </x:row>
    <x:row r="621">
      <x:c r="A621" t="str">
        <x:v>PO500619</x:v>
      </x:c>
      <x:c r="B621" t="str">
        <x:v>2026-02-07</x:v>
      </x:c>
      <x:c r="C621" t="str">
        <x:v>V1007</x:v>
      </x:c>
      <x:c r="D621" t="str">
        <x:v>MAT2015</x:v>
      </x:c>
      <x:c r="E621" t="n">
        <x:v>219</x:v>
      </x:c>
      <x:c r="F621" t="n">
        <x:v>219</x:v>
      </x:c>
      <x:c r="G621" s="8" t="n">
        <x:v>615.42</x:v>
      </x:c>
      <x:c r="H621" s="8" t="n">
        <x:v>134776.98</x:v>
      </x:c>
      <x:c r="I621" t="str">
        <x:v>2026-02-16</x:v>
      </x:c>
      <x:c r="J621" t="str">
        <x:v>2026-02-21</x:v>
      </x:c>
      <x:c r="K621" t="n">
        <x:v>5</x:v>
      </x:c>
      <x:c r="L621" t="str">
        <x:v>Complete</x:v>
      </x:c>
      <x:c r="M621" t="str">
        <x:v>Matched</x:v>
      </x:c>
    </x:row>
    <x:row r="622">
      <x:c r="A622" t="str">
        <x:v>PO500620</x:v>
      </x:c>
      <x:c r="B622" t="str">
        <x:v>2026-06-24</x:v>
      </x:c>
      <x:c r="C622" t="str">
        <x:v>V1018</x:v>
      </x:c>
      <x:c r="D622" t="str">
        <x:v>MAT2065</x:v>
      </x:c>
      <x:c r="E622" t="n">
        <x:v>61</x:v>
      </x:c>
      <x:c r="F622" t="n">
        <x:v>56</x:v>
      </x:c>
      <x:c r="G622" s="8" t="n">
        <x:v>1403.94</x:v>
      </x:c>
      <x:c r="H622" s="8" t="n">
        <x:v>85640.34</x:v>
      </x:c>
      <x:c r="I622" t="str">
        <x:v>2026-07-06</x:v>
      </x:c>
      <x:c r="J622" t="str">
        <x:v>2026-07-06</x:v>
      </x:c>
      <x:c r="K622" t="n">
        <x:v>0</x:v>
      </x:c>
      <x:c r="L622" t="str">
        <x:v>Partial</x:v>
      </x:c>
      <x:c r="M622" t="str">
        <x:v>Pending</x:v>
      </x:c>
    </x:row>
    <x:row r="623">
      <x:c r="A623" t="str">
        <x:v>PO500621</x:v>
      </x:c>
      <x:c r="B623" t="str">
        <x:v>2026-02-20</x:v>
      </x:c>
      <x:c r="C623" t="str">
        <x:v>V1010</x:v>
      </x:c>
      <x:c r="D623" t="str">
        <x:v>MAT2025</x:v>
      </x:c>
      <x:c r="E623" t="n">
        <x:v>86</x:v>
      </x:c>
      <x:c r="F623" t="n">
        <x:v>86</x:v>
      </x:c>
      <x:c r="G623" s="8" t="n">
        <x:v>476.63</x:v>
      </x:c>
      <x:c r="H623" s="8" t="n">
        <x:v>40990.18</x:v>
      </x:c>
      <x:c r="I623" t="str">
        <x:v>2026-02-28</x:v>
      </x:c>
      <x:c r="J623" t="str">
        <x:v>2026-02-28</x:v>
      </x:c>
      <x:c r="K623" t="n">
        <x:v>0</x:v>
      </x:c>
      <x:c r="L623" t="str">
        <x:v>Complete</x:v>
      </x:c>
      <x:c r="M623" t="str">
        <x:v>Matched</x:v>
      </x:c>
    </x:row>
    <x:row r="624">
      <x:c r="A624" t="str">
        <x:v>PO500622</x:v>
      </x:c>
      <x:c r="B624" t="str">
        <x:v>2026-06-06</x:v>
      </x:c>
      <x:c r="C624" t="str">
        <x:v>V1033</x:v>
      </x:c>
      <x:c r="D624" t="str">
        <x:v>MAT2068</x:v>
      </x:c>
      <x:c r="E624" t="n">
        <x:v>14</x:v>
      </x:c>
      <x:c r="F624" t="n">
        <x:v>14</x:v>
      </x:c>
      <x:c r="G624" s="8" t="n">
        <x:v>1647.18</x:v>
      </x:c>
      <x:c r="H624" s="8" t="n">
        <x:v>23060.52</x:v>
      </x:c>
      <x:c r="I624" t="str">
        <x:v>2026-06-16</x:v>
      </x:c>
      <x:c r="J624" t="str">
        <x:v>2026-06-16</x:v>
      </x:c>
      <x:c r="K624" t="n">
        <x:v>0</x:v>
      </x:c>
      <x:c r="L624" t="str">
        <x:v>Complete</x:v>
      </x:c>
      <x:c r="M624" t="str">
        <x:v>Matched</x:v>
      </x:c>
    </x:row>
    <x:row r="625">
      <x:c r="A625" t="str">
        <x:v>PO500623</x:v>
      </x:c>
      <x:c r="B625" t="str">
        <x:v>2026-04-02</x:v>
      </x:c>
      <x:c r="C625" t="str">
        <x:v>V1014</x:v>
      </x:c>
      <x:c r="D625" t="str">
        <x:v>MAT2067</x:v>
      </x:c>
      <x:c r="E625" t="n">
        <x:v>389</x:v>
      </x:c>
      <x:c r="F625" t="n">
        <x:v>359</x:v>
      </x:c>
      <x:c r="G625" s="8" t="n">
        <x:v>1248.3</x:v>
      </x:c>
      <x:c r="H625" s="8" t="n">
        <x:v>485588.7</x:v>
      </x:c>
      <x:c r="I625" t="str">
        <x:v>2026-04-21</x:v>
      </x:c>
      <x:c r="J625" t="str">
        <x:v>2026-04-21</x:v>
      </x:c>
      <x:c r="K625" t="n">
        <x:v>0</x:v>
      </x:c>
      <x:c r="L625" t="str">
        <x:v>Partial</x:v>
      </x:c>
      <x:c r="M625" t="str">
        <x:v>Matched</x:v>
      </x:c>
    </x:row>
    <x:row r="626">
      <x:c r="A626" t="str">
        <x:v>PO500624</x:v>
      </x:c>
      <x:c r="B626" t="str">
        <x:v>2026-05-02</x:v>
      </x:c>
      <x:c r="C626" t="str">
        <x:v>V1019</x:v>
      </x:c>
      <x:c r="D626" t="str">
        <x:v>MAT2040</x:v>
      </x:c>
      <x:c r="E626" t="n">
        <x:v>468</x:v>
      </x:c>
      <x:c r="F626" t="n">
        <x:v>468</x:v>
      </x:c>
      <x:c r="G626" s="8" t="n">
        <x:v>973.57</x:v>
      </x:c>
      <x:c r="H626" s="8" t="n">
        <x:v>455630.76</x:v>
      </x:c>
      <x:c r="I626" t="str">
        <x:v>2026-05-16</x:v>
      </x:c>
      <x:c r="J626" t="str">
        <x:v>2026-05-16</x:v>
      </x:c>
      <x:c r="K626" t="n">
        <x:v>0</x:v>
      </x:c>
      <x:c r="L626" t="str">
        <x:v>Complete</x:v>
      </x:c>
      <x:c r="M626" t="str">
        <x:v>Matched</x:v>
      </x:c>
    </x:row>
    <x:row r="627">
      <x:c r="A627" t="str">
        <x:v>PO500625</x:v>
      </x:c>
      <x:c r="B627" t="str">
        <x:v>2026-01-08</x:v>
      </x:c>
      <x:c r="C627" t="str">
        <x:v>V1011</x:v>
      </x:c>
      <x:c r="D627" t="str">
        <x:v>MAT2071</x:v>
      </x:c>
      <x:c r="E627" t="n">
        <x:v>308</x:v>
      </x:c>
      <x:c r="F627" t="n">
        <x:v>308</x:v>
      </x:c>
      <x:c r="G627" s="8" t="n">
        <x:v>82.16</x:v>
      </x:c>
      <x:c r="H627" s="8" t="n">
        <x:v>25305.28</x:v>
      </x:c>
      <x:c r="I627" t="str">
        <x:v>2026-01-11</x:v>
      </x:c>
      <x:c r="J627" t="str">
        <x:v>2026-01-11</x:v>
      </x:c>
      <x:c r="K627" t="n">
        <x:v>0</x:v>
      </x:c>
      <x:c r="L627" t="str">
        <x:v>Complete</x:v>
      </x:c>
      <x:c r="M627" t="str">
        <x:v>Matched</x:v>
      </x:c>
    </x:row>
    <x:row r="628">
      <x:c r="A628" t="str">
        <x:v>PO500626</x:v>
      </x:c>
      <x:c r="B628" t="str">
        <x:v>2026-07-01</x:v>
      </x:c>
      <x:c r="C628" t="str">
        <x:v>V1013</x:v>
      </x:c>
      <x:c r="D628" t="str">
        <x:v>MAT2007</x:v>
      </x:c>
      <x:c r="E628" t="n">
        <x:v>415</x:v>
      </x:c>
      <x:c r="F628" t="n">
        <x:v>412</x:v>
      </x:c>
      <x:c r="G628" s="8" t="n">
        <x:v>359.9</x:v>
      </x:c>
      <x:c r="H628" s="8" t="n">
        <x:v>149358.5</x:v>
      </x:c>
      <x:c r="I628" t="str">
        <x:v>2026-07-07</x:v>
      </x:c>
      <x:c r="J628" t="str">
        <x:v>2026-07-07</x:v>
      </x:c>
      <x:c r="K628" t="n">
        <x:v>0</x:v>
      </x:c>
      <x:c r="L628" t="str">
        <x:v>Partial</x:v>
      </x:c>
      <x:c r="M628" t="str">
        <x:v>Pending</x:v>
      </x:c>
    </x:row>
    <x:row r="629">
      <x:c r="A629" t="str">
        <x:v>PO500627</x:v>
      </x:c>
      <x:c r="B629" t="str">
        <x:v>2026-05-20</x:v>
      </x:c>
      <x:c r="C629" t="str">
        <x:v>V1021</x:v>
      </x:c>
      <x:c r="D629" t="str">
        <x:v>MAT2073</x:v>
      </x:c>
      <x:c r="E629" t="n">
        <x:v>311</x:v>
      </x:c>
      <x:c r="F629" t="n">
        <x:v>311</x:v>
      </x:c>
      <x:c r="G629" s="8" t="n">
        <x:v>785</x:v>
      </x:c>
      <x:c r="H629" s="8" t="n">
        <x:v>244135</x:v>
      </x:c>
      <x:c r="I629" t="str">
        <x:v>2026-05-29</x:v>
      </x:c>
      <x:c r="J629" t="str">
        <x:v>2026-05-29</x:v>
      </x:c>
      <x:c r="K629" t="n">
        <x:v>0</x:v>
      </x:c>
      <x:c r="L629" t="str">
        <x:v>Complete</x:v>
      </x:c>
      <x:c r="M629" t="str">
        <x:v>Matched</x:v>
      </x:c>
    </x:row>
    <x:row r="630">
      <x:c r="A630" t="str">
        <x:v>PO500628</x:v>
      </x:c>
      <x:c r="B630" t="str">
        <x:v>2026-04-26</x:v>
      </x:c>
      <x:c r="C630" t="str">
        <x:v>V1000</x:v>
      </x:c>
      <x:c r="D630" t="str">
        <x:v>MAT2047</x:v>
      </x:c>
      <x:c r="E630" t="n">
        <x:v>357</x:v>
      </x:c>
      <x:c r="F630" t="n">
        <x:v>357</x:v>
      </x:c>
      <x:c r="G630" s="8" t="n">
        <x:v>765.3</x:v>
      </x:c>
      <x:c r="H630" s="8" t="n">
        <x:v>273212.1</x:v>
      </x:c>
      <x:c r="I630" t="str">
        <x:v>2026-05-15</x:v>
      </x:c>
      <x:c r="J630" t="str">
        <x:v>2026-05-15</x:v>
      </x:c>
      <x:c r="K630" t="n">
        <x:v>0</x:v>
      </x:c>
      <x:c r="L630" t="str">
        <x:v>Complete</x:v>
      </x:c>
      <x:c r="M630" t="str">
        <x:v>Mismatch</x:v>
      </x:c>
    </x:row>
    <x:row r="631">
      <x:c r="A631" t="str">
        <x:v>PO500629</x:v>
      </x:c>
      <x:c r="B631" t="str">
        <x:v>2026-04-23</x:v>
      </x:c>
      <x:c r="C631" t="str">
        <x:v>V1023</x:v>
      </x:c>
      <x:c r="D631" t="str">
        <x:v>MAT2018</x:v>
      </x:c>
      <x:c r="E631" t="n">
        <x:v>429</x:v>
      </x:c>
      <x:c r="F631" t="n">
        <x:v>429</x:v>
      </x:c>
      <x:c r="G631" s="8" t="n">
        <x:v>1150.28</x:v>
      </x:c>
      <x:c r="H631" s="8" t="n">
        <x:v>493470.12</x:v>
      </x:c>
      <x:c r="I631" t="str">
        <x:v>2026-04-30</x:v>
      </x:c>
      <x:c r="J631" t="str">
        <x:v>2026-05-02</x:v>
      </x:c>
      <x:c r="K631" t="n">
        <x:v>2</x:v>
      </x:c>
      <x:c r="L631" t="str">
        <x:v>Complete</x:v>
      </x:c>
      <x:c r="M631" t="str">
        <x:v>Mismatch</x:v>
      </x:c>
    </x:row>
    <x:row r="632">
      <x:c r="A632" t="str">
        <x:v>PO500630</x:v>
      </x:c>
      <x:c r="B632" t="str">
        <x:v>2026-05-05</x:v>
      </x:c>
      <x:c r="C632" t="str">
        <x:v>V1011</x:v>
      </x:c>
      <x:c r="D632" t="str">
        <x:v>MAT2012</x:v>
      </x:c>
      <x:c r="E632" t="n">
        <x:v>5</x:v>
      </x:c>
      <x:c r="F632" t="n">
        <x:v>5</x:v>
      </x:c>
      <x:c r="G632" s="8" t="n">
        <x:v>1932.38</x:v>
      </x:c>
      <x:c r="H632" s="8" t="n">
        <x:v>9661.9</x:v>
      </x:c>
      <x:c r="I632" t="str">
        <x:v>2026-05-15</x:v>
      </x:c>
      <x:c r="J632" t="str">
        <x:v>2026-05-15</x:v>
      </x:c>
      <x:c r="K632" t="n">
        <x:v>0</x:v>
      </x:c>
      <x:c r="L632" t="str">
        <x:v>Complete</x:v>
      </x:c>
      <x:c r="M632" t="str">
        <x:v>Matched</x:v>
      </x:c>
    </x:row>
    <x:row r="633">
      <x:c r="A633" t="str">
        <x:v>PO500631</x:v>
      </x:c>
      <x:c r="B633" t="str">
        <x:v>2026-06-30</x:v>
      </x:c>
      <x:c r="C633" t="str">
        <x:v>V1008</x:v>
      </x:c>
      <x:c r="D633" t="str">
        <x:v>MAT2014</x:v>
      </x:c>
      <x:c r="E633" t="n">
        <x:v>24</x:v>
      </x:c>
      <x:c r="F633" t="n">
        <x:v>24</x:v>
      </x:c>
      <x:c r="G633" s="8" t="n">
        <x:v>1972.69</x:v>
      </x:c>
      <x:c r="H633" s="8" t="n">
        <x:v>47344.56</x:v>
      </x:c>
      <x:c r="I633" t="str">
        <x:v>2026-07-12</x:v>
      </x:c>
      <x:c r="J633" t="str">
        <x:v>2026-07-13</x:v>
      </x:c>
      <x:c r="K633" t="n">
        <x:v>1</x:v>
      </x:c>
      <x:c r="L633" t="str">
        <x:v>Complete</x:v>
      </x:c>
      <x:c r="M633" t="str">
        <x:v>Pending</x:v>
      </x:c>
    </x:row>
    <x:row r="634">
      <x:c r="A634" t="str">
        <x:v>PO500632</x:v>
      </x:c>
      <x:c r="B634" t="str">
        <x:v>2026-02-10</x:v>
      </x:c>
      <x:c r="C634" t="str">
        <x:v>V1002</x:v>
      </x:c>
      <x:c r="D634" t="str">
        <x:v>MAT2028</x:v>
      </x:c>
      <x:c r="E634" t="n">
        <x:v>450</x:v>
      </x:c>
      <x:c r="F634" t="n">
        <x:v>450</x:v>
      </x:c>
      <x:c r="G634" s="8" t="n">
        <x:v>2334.55</x:v>
      </x:c>
      <x:c r="H634" s="8" t="n">
        <x:v>1050547.5</x:v>
      </x:c>
      <x:c r="I634" t="str">
        <x:v>2026-02-15</x:v>
      </x:c>
      <x:c r="J634" t="str">
        <x:v>2026-02-15</x:v>
      </x:c>
      <x:c r="K634" t="n">
        <x:v>0</x:v>
      </x:c>
      <x:c r="L634" t="str">
        <x:v>Complete</x:v>
      </x:c>
      <x:c r="M634" t="str">
        <x:v>Mismatch</x:v>
      </x:c>
    </x:row>
    <x:row r="635">
      <x:c r="A635" t="str">
        <x:v>PO500633</x:v>
      </x:c>
      <x:c r="B635" t="str">
        <x:v>2026-04-10</x:v>
      </x:c>
      <x:c r="C635" t="str">
        <x:v>V1025</x:v>
      </x:c>
      <x:c r="D635" t="str">
        <x:v>MAT2009</x:v>
      </x:c>
      <x:c r="E635" t="n">
        <x:v>33</x:v>
      </x:c>
      <x:c r="F635" t="n">
        <x:v>30</x:v>
      </x:c>
      <x:c r="G635" s="8" t="n">
        <x:v>616.87</x:v>
      </x:c>
      <x:c r="H635" s="8" t="n">
        <x:v>20356.71</x:v>
      </x:c>
      <x:c r="I635" t="str">
        <x:v>2026-04-13</x:v>
      </x:c>
      <x:c r="J635" t="str">
        <x:v>2026-04-14</x:v>
      </x:c>
      <x:c r="K635" t="n">
        <x:v>1</x:v>
      </x:c>
      <x:c r="L635" t="str">
        <x:v>Partial</x:v>
      </x:c>
      <x:c r="M635" t="str">
        <x:v>Mismatch</x:v>
      </x:c>
    </x:row>
    <x:row r="636">
      <x:c r="A636" t="str">
        <x:v>PO500634</x:v>
      </x:c>
      <x:c r="B636" t="str">
        <x:v>2026-06-23</x:v>
      </x:c>
      <x:c r="C636" t="str">
        <x:v>V1024</x:v>
      </x:c>
      <x:c r="D636" t="str">
        <x:v>MAT2056</x:v>
      </x:c>
      <x:c r="E636" t="n">
        <x:v>349</x:v>
      </x:c>
      <x:c r="F636" t="n">
        <x:v>349</x:v>
      </x:c>
      <x:c r="G636" s="8" t="n">
        <x:v>791.87</x:v>
      </x:c>
      <x:c r="H636" s="8" t="n">
        <x:v>276362.63</x:v>
      </x:c>
      <x:c r="I636" t="str">
        <x:v>2026-07-10</x:v>
      </x:c>
      <x:c r="J636" t="str">
        <x:v>2026-07-10</x:v>
      </x:c>
      <x:c r="K636" t="n">
        <x:v>0</x:v>
      </x:c>
      <x:c r="L636" t="str">
        <x:v>Complete</x:v>
      </x:c>
      <x:c r="M636" t="str">
        <x:v>Matched</x:v>
      </x:c>
    </x:row>
    <x:row r="637">
      <x:c r="A637" t="str">
        <x:v>PO500635</x:v>
      </x:c>
      <x:c r="B637" t="str">
        <x:v>2026-04-04</x:v>
      </x:c>
      <x:c r="C637" t="str">
        <x:v>V1004</x:v>
      </x:c>
      <x:c r="D637" t="str">
        <x:v>MAT2019</x:v>
      </x:c>
      <x:c r="E637" t="n">
        <x:v>336</x:v>
      </x:c>
      <x:c r="F637" t="n">
        <x:v>336</x:v>
      </x:c>
      <x:c r="G637" s="8" t="n">
        <x:v>1095.34</x:v>
      </x:c>
      <x:c r="H637" s="8" t="n">
        <x:v>368034.24</x:v>
      </x:c>
      <x:c r="I637" t="str">
        <x:v>2026-04-12</x:v>
      </x:c>
      <x:c r="J637" t="str">
        <x:v>2026-04-12</x:v>
      </x:c>
      <x:c r="K637" t="n">
        <x:v>0</x:v>
      </x:c>
      <x:c r="L637" t="str">
        <x:v>Complete</x:v>
      </x:c>
      <x:c r="M637" t="str">
        <x:v>Matched</x:v>
      </x:c>
    </x:row>
    <x:row r="638">
      <x:c r="A638" t="str">
        <x:v>PO500636</x:v>
      </x:c>
      <x:c r="B638" t="str">
        <x:v>2026-05-06</x:v>
      </x:c>
      <x:c r="C638" t="str">
        <x:v>V1029</x:v>
      </x:c>
      <x:c r="D638" t="str">
        <x:v>MAT2033</x:v>
      </x:c>
      <x:c r="E638" t="n">
        <x:v>85</x:v>
      </x:c>
      <x:c r="F638" t="n">
        <x:v>85</x:v>
      </x:c>
      <x:c r="G638" s="8" t="n">
        <x:v>1926.91</x:v>
      </x:c>
      <x:c r="H638" s="8" t="n">
        <x:v>163787.35</x:v>
      </x:c>
      <x:c r="I638" t="str">
        <x:v>2026-05-09</x:v>
      </x:c>
      <x:c r="J638" t="str">
        <x:v>2026-05-09</x:v>
      </x:c>
      <x:c r="K638" t="n">
        <x:v>0</x:v>
      </x:c>
      <x:c r="L638" t="str">
        <x:v>Complete</x:v>
      </x:c>
      <x:c r="M638" t="str">
        <x:v>Matched</x:v>
      </x:c>
    </x:row>
    <x:row r="639">
      <x:c r="A639" t="str">
        <x:v>PO500637</x:v>
      </x:c>
      <x:c r="B639" t="str">
        <x:v>2026-07-10</x:v>
      </x:c>
      <x:c r="C639" t="str">
        <x:v>V1024</x:v>
      </x:c>
      <x:c r="D639" t="str">
        <x:v>MAT2013</x:v>
      </x:c>
      <x:c r="E639" t="n">
        <x:v>28</x:v>
      </x:c>
      <x:c r="F639" t="n">
        <x:v>28</x:v>
      </x:c>
      <x:c r="G639" s="8" t="n">
        <x:v>1885.87</x:v>
      </x:c>
      <x:c r="H639" s="8" t="n">
        <x:v>52804.36</x:v>
      </x:c>
      <x:c r="I639" t="str">
        <x:v>2026-07-20</x:v>
      </x:c>
      <x:c r="J639" t="str">
        <x:v>2026-07-25</x:v>
      </x:c>
      <x:c r="K639" t="n">
        <x:v>5</x:v>
      </x:c>
      <x:c r="L639" t="str">
        <x:v>Complete</x:v>
      </x:c>
      <x:c r="M639" t="str">
        <x:v>Matched</x:v>
      </x:c>
    </x:row>
    <x:row r="640">
      <x:c r="A640" t="str">
        <x:v>PO500638</x:v>
      </x:c>
      <x:c r="B640" t="str">
        <x:v>2026-03-01</x:v>
      </x:c>
      <x:c r="C640" t="str">
        <x:v>V1027</x:v>
      </x:c>
      <x:c r="D640" t="str">
        <x:v>MAT2065</x:v>
      </x:c>
      <x:c r="E640" t="n">
        <x:v>355</x:v>
      </x:c>
      <x:c r="F640" t="n">
        <x:v>355</x:v>
      </x:c>
      <x:c r="G640" s="8" t="n">
        <x:v>1269.94</x:v>
      </x:c>
      <x:c r="H640" s="8" t="n">
        <x:v>450828.7</x:v>
      </x:c>
      <x:c r="I640" t="str">
        <x:v>2026-03-16</x:v>
      </x:c>
      <x:c r="J640" t="str">
        <x:v>2026-03-19</x:v>
      </x:c>
      <x:c r="K640" t="n">
        <x:v>3</x:v>
      </x:c>
      <x:c r="L640" t="str">
        <x:v>Complete</x:v>
      </x:c>
      <x:c r="M640" t="str">
        <x:v>Pending</x:v>
      </x:c>
    </x:row>
    <x:row r="641">
      <x:c r="A641" t="str">
        <x:v>PO500639</x:v>
      </x:c>
      <x:c r="B641" t="str">
        <x:v>2026-04-19</x:v>
      </x:c>
      <x:c r="C641" t="str">
        <x:v>V1033</x:v>
      </x:c>
      <x:c r="D641" t="str">
        <x:v>MAT2025</x:v>
      </x:c>
      <x:c r="E641" t="n">
        <x:v>275</x:v>
      </x:c>
      <x:c r="F641" t="n">
        <x:v>263</x:v>
      </x:c>
      <x:c r="G641" s="8" t="n">
        <x:v>2397.4</x:v>
      </x:c>
      <x:c r="H641" s="8" t="n">
        <x:v>659285</x:v>
      </x:c>
      <x:c r="I641" t="str">
        <x:v>2026-04-25</x:v>
      </x:c>
      <x:c r="J641" t="str">
        <x:v>2026-04-25</x:v>
      </x:c>
      <x:c r="K641" t="n">
        <x:v>0</x:v>
      </x:c>
      <x:c r="L641" t="str">
        <x:v>Partial</x:v>
      </x:c>
      <x:c r="M641" t="str">
        <x:v>Matched</x:v>
      </x:c>
    </x:row>
    <x:row r="642">
      <x:c r="A642" t="str">
        <x:v>PO500640</x:v>
      </x:c>
      <x:c r="B642" t="str">
        <x:v>2026-02-14</x:v>
      </x:c>
      <x:c r="C642" t="str">
        <x:v>V1009</x:v>
      </x:c>
      <x:c r="D642" t="str">
        <x:v>MAT2048</x:v>
      </x:c>
      <x:c r="E642" t="n">
        <x:v>454</x:v>
      </x:c>
      <x:c r="F642" t="n">
        <x:v>454</x:v>
      </x:c>
      <x:c r="G642" s="8" t="n">
        <x:v>800.37</x:v>
      </x:c>
      <x:c r="H642" s="8" t="n">
        <x:v>363367.98</x:v>
      </x:c>
      <x:c r="I642" t="str">
        <x:v>2026-02-17</x:v>
      </x:c>
      <x:c r="J642" t="str">
        <x:v>2026-02-17</x:v>
      </x:c>
      <x:c r="K642" t="n">
        <x:v>0</x:v>
      </x:c>
      <x:c r="L642" t="str">
        <x:v>Complete</x:v>
      </x:c>
      <x:c r="M642" t="str">
        <x:v>Pending</x:v>
      </x:c>
    </x:row>
    <x:row r="643">
      <x:c r="A643" t="str">
        <x:v>PO500641</x:v>
      </x:c>
      <x:c r="B643" t="str">
        <x:v>2026-04-11</x:v>
      </x:c>
      <x:c r="C643" t="str">
        <x:v>V1005</x:v>
      </x:c>
      <x:c r="D643" t="str">
        <x:v>MAT2022</x:v>
      </x:c>
      <x:c r="E643" t="n">
        <x:v>224</x:v>
      </x:c>
      <x:c r="F643" t="n">
        <x:v>224</x:v>
      </x:c>
      <x:c r="G643" s="8" t="n">
        <x:v>1229.57</x:v>
      </x:c>
      <x:c r="H643" s="8" t="n">
        <x:v>275423.68</x:v>
      </x:c>
      <x:c r="I643" t="str">
        <x:v>2026-04-23</x:v>
      </x:c>
      <x:c r="J643" t="str">
        <x:v>2026-05-01</x:v>
      </x:c>
      <x:c r="K643" t="n">
        <x:v>8</x:v>
      </x:c>
      <x:c r="L643" t="str">
        <x:v>Complete</x:v>
      </x:c>
      <x:c r="M643" t="str">
        <x:v>Pending</x:v>
      </x:c>
    </x:row>
    <x:row r="644">
      <x:c r="A644" t="str">
        <x:v>PO500642</x:v>
      </x:c>
      <x:c r="B644" t="str">
        <x:v>2026-03-31</x:v>
      </x:c>
      <x:c r="C644" t="str">
        <x:v>V1026</x:v>
      </x:c>
      <x:c r="D644" t="str">
        <x:v>MAT2011</x:v>
      </x:c>
      <x:c r="E644" t="n">
        <x:v>85</x:v>
      </x:c>
      <x:c r="F644" t="n">
        <x:v>85</x:v>
      </x:c>
      <x:c r="G644" s="8" t="n">
        <x:v>1154.34</x:v>
      </x:c>
      <x:c r="H644" s="8" t="n">
        <x:v>98118.9</x:v>
      </x:c>
      <x:c r="I644" t="str">
        <x:v>2026-04-12</x:v>
      </x:c>
      <x:c r="J644" t="str">
        <x:v>2026-04-12</x:v>
      </x:c>
      <x:c r="K644" t="n">
        <x:v>0</x:v>
      </x:c>
      <x:c r="L644" t="str">
        <x:v>Complete</x:v>
      </x:c>
      <x:c r="M644" t="str">
        <x:v>Matched</x:v>
      </x:c>
    </x:row>
    <x:row r="645">
      <x:c r="A645" t="str">
        <x:v>PO500643</x:v>
      </x:c>
      <x:c r="B645" t="str">
        <x:v>2026-07-11</x:v>
      </x:c>
      <x:c r="C645" t="str">
        <x:v>V1023</x:v>
      </x:c>
      <x:c r="D645" t="str">
        <x:v>MAT2070</x:v>
      </x:c>
      <x:c r="E645" t="n">
        <x:v>464</x:v>
      </x:c>
      <x:c r="F645" t="n">
        <x:v>464</x:v>
      </x:c>
      <x:c r="G645" s="8" t="n">
        <x:v>1181.35</x:v>
      </x:c>
      <x:c r="H645" s="8" t="n">
        <x:v>548146.4</x:v>
      </x:c>
      <x:c r="I645" t="str">
        <x:v>2026-07-30</x:v>
      </x:c>
      <x:c r="J645" t="str">
        <x:v>2026-07-30</x:v>
      </x:c>
      <x:c r="K645" t="n">
        <x:v>0</x:v>
      </x:c>
      <x:c r="L645" t="str">
        <x:v>Complete</x:v>
      </x:c>
      <x:c r="M645" t="str">
        <x:v>Matched</x:v>
      </x:c>
    </x:row>
    <x:row r="646">
      <x:c r="A646" t="str">
        <x:v>PO500644</x:v>
      </x:c>
      <x:c r="B646" t="str">
        <x:v>2026-07-17</x:v>
      </x:c>
      <x:c r="C646" t="str">
        <x:v>V1009</x:v>
      </x:c>
      <x:c r="D646" t="str">
        <x:v>MAT2043</x:v>
      </x:c>
      <x:c r="E646" t="n">
        <x:v>107</x:v>
      </x:c>
      <x:c r="F646" t="n">
        <x:v>107</x:v>
      </x:c>
      <x:c r="G646" s="8" t="n">
        <x:v>1853.95</x:v>
      </x:c>
      <x:c r="H646" s="8" t="n">
        <x:v>198372.65</x:v>
      </x:c>
      <x:c r="I646" t="str">
        <x:v>2026-07-21</x:v>
      </x:c>
      <x:c r="J646" t="str">
        <x:v>2026-08-02</x:v>
      </x:c>
      <x:c r="K646" t="n">
        <x:v>12</x:v>
      </x:c>
      <x:c r="L646" t="str">
        <x:v>Complete</x:v>
      </x:c>
      <x:c r="M646" t="str">
        <x:v>Pending</x:v>
      </x:c>
    </x:row>
    <x:row r="647">
      <x:c r="A647" t="str">
        <x:v>PO500645</x:v>
      </x:c>
      <x:c r="B647" t="str">
        <x:v>2026-07-13</x:v>
      </x:c>
      <x:c r="C647" t="str">
        <x:v>V1009</x:v>
      </x:c>
      <x:c r="D647" t="str">
        <x:v>MAT2067</x:v>
      </x:c>
      <x:c r="E647" t="n">
        <x:v>294</x:v>
      </x:c>
      <x:c r="F647" t="n">
        <x:v>294</x:v>
      </x:c>
      <x:c r="G647" s="8" t="n">
        <x:v>1727.61</x:v>
      </x:c>
      <x:c r="H647" s="8" t="n">
        <x:v>507917.34</x:v>
      </x:c>
      <x:c r="I647" t="str">
        <x:v>2026-07-28</x:v>
      </x:c>
      <x:c r="J647" t="str">
        <x:v>2026-07-28</x:v>
      </x:c>
      <x:c r="K647" t="n">
        <x:v>0</x:v>
      </x:c>
      <x:c r="L647" t="str">
        <x:v>Complete</x:v>
      </x:c>
      <x:c r="M647" t="str">
        <x:v>Matched</x:v>
      </x:c>
    </x:row>
    <x:row r="648">
      <x:c r="A648" t="str">
        <x:v>PO500646</x:v>
      </x:c>
      <x:c r="B648" t="str">
        <x:v>2026-01-18</x:v>
      </x:c>
      <x:c r="C648" t="str">
        <x:v>V1034</x:v>
      </x:c>
      <x:c r="D648" t="str">
        <x:v>MAT2072</x:v>
      </x:c>
      <x:c r="E648" t="n">
        <x:v>193</x:v>
      </x:c>
      <x:c r="F648" t="n">
        <x:v>188</x:v>
      </x:c>
      <x:c r="G648" s="8" t="n">
        <x:v>2068.53</x:v>
      </x:c>
      <x:c r="H648" s="8" t="n">
        <x:v>399226.29</x:v>
      </x:c>
      <x:c r="I648" t="str">
        <x:v>2026-02-01</x:v>
      </x:c>
      <x:c r="J648" t="str">
        <x:v>2026-02-01</x:v>
      </x:c>
      <x:c r="K648" t="n">
        <x:v>0</x:v>
      </x:c>
      <x:c r="L648" t="str">
        <x:v>Partial</x:v>
      </x:c>
      <x:c r="M648" t="str">
        <x:v>Matched</x:v>
      </x:c>
    </x:row>
    <x:row r="649">
      <x:c r="A649" t="str">
        <x:v>PO500647</x:v>
      </x:c>
      <x:c r="B649" t="str">
        <x:v>2026-05-07</x:v>
      </x:c>
      <x:c r="C649" t="str">
        <x:v>V1012</x:v>
      </x:c>
      <x:c r="D649" t="str">
        <x:v>MAT2073</x:v>
      </x:c>
      <x:c r="E649" t="n">
        <x:v>303</x:v>
      </x:c>
      <x:c r="F649" t="n">
        <x:v>303</x:v>
      </x:c>
      <x:c r="G649" s="8" t="n">
        <x:v>582.23</x:v>
      </x:c>
      <x:c r="H649" s="8" t="n">
        <x:v>176415.69</x:v>
      </x:c>
      <x:c r="I649" t="str">
        <x:v>2026-05-14</x:v>
      </x:c>
      <x:c r="J649" t="str">
        <x:v>2026-05-14</x:v>
      </x:c>
      <x:c r="K649" t="n">
        <x:v>0</x:v>
      </x:c>
      <x:c r="L649" t="str">
        <x:v>Complete</x:v>
      </x:c>
      <x:c r="M649" t="str">
        <x:v>Matched</x:v>
      </x:c>
    </x:row>
    <x:row r="650">
      <x:c r="A650" t="str">
        <x:v>PO500648</x:v>
      </x:c>
      <x:c r="B650" t="str">
        <x:v>2026-02-25</x:v>
      </x:c>
      <x:c r="C650" t="str">
        <x:v>V1022</x:v>
      </x:c>
      <x:c r="D650" t="str">
        <x:v>MAT2056</x:v>
      </x:c>
      <x:c r="E650" t="n">
        <x:v>370</x:v>
      </x:c>
      <x:c r="F650" t="n">
        <x:v>370</x:v>
      </x:c>
      <x:c r="G650" s="8" t="n">
        <x:v>2040.45</x:v>
      </x:c>
      <x:c r="H650" s="8" t="n">
        <x:v>754966.5</x:v>
      </x:c>
      <x:c r="I650" t="str">
        <x:v>2026-03-04</x:v>
      </x:c>
      <x:c r="J650" t="str">
        <x:v>2026-03-04</x:v>
      </x:c>
      <x:c r="K650" t="n">
        <x:v>0</x:v>
      </x:c>
      <x:c r="L650" t="str">
        <x:v>Complete</x:v>
      </x:c>
      <x:c r="M650" t="str">
        <x:v>Pending</x:v>
      </x:c>
    </x:row>
    <x:row r="651">
      <x:c r="A651" t="str">
        <x:v>PO500649</x:v>
      </x:c>
      <x:c r="B651" t="str">
        <x:v>2026-08-25</x:v>
      </x:c>
      <x:c r="C651" t="str">
        <x:v>V1019</x:v>
      </x:c>
      <x:c r="D651" t="str">
        <x:v>MAT2047</x:v>
      </x:c>
      <x:c r="E651" t="n">
        <x:v>196</x:v>
      </x:c>
      <x:c r="F651" t="n">
        <x:v>196</x:v>
      </x:c>
      <x:c r="G651" s="8" t="n">
        <x:v>665.82</x:v>
      </x:c>
      <x:c r="H651" s="8" t="n">
        <x:v>130500.72</x:v>
      </x:c>
      <x:c r="I651" t="str">
        <x:v>2026-09-10</x:v>
      </x:c>
      <x:c r="J651" t="str">
        <x:v>2026-09-12</x:v>
      </x:c>
      <x:c r="K651" t="n">
        <x:v>2</x:v>
      </x:c>
      <x:c r="L651" t="str">
        <x:v>Complete</x:v>
      </x:c>
      <x:c r="M651" t="str">
        <x:v>Matched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.25" hidden="0" customWidth="1"/>
    <x:col min="2" max="2" width="7.880000114440918" hidden="0" customWidth="1"/>
    <x:col min="3" max="3" width="11.25" hidden="0" customWidth="1"/>
    <x:col min="4" max="4" width="12.880000114440918" hidden="0" customWidth="1"/>
    <x:col min="5" max="5" width="10" hidden="0" customWidth="1"/>
  </x:cols>
  <x:sheetData>
    <x:row r="1">
      <x:c r="A1" s="4" t="str">
        <x:v>material_id</x:v>
      </x:c>
      <x:c r="B1" s="4" t="str">
        <x:v>stock_qty</x:v>
      </x:c>
      <x:c r="C1" s="4" t="str">
        <x:v>reorder_point</x:v>
      </x:c>
      <x:c r="D1" s="4" t="str">
        <x:v>inventory_value</x:v>
      </x:c>
      <x:c r="E1" s="4" t="str">
        <x:v>stock_status</x:v>
      </x:c>
    </x:row>
    <x:row r="2">
      <x:c r="A2" t="str">
        <x:v>MAT2000</x:v>
      </x:c>
      <x:c r="B2" t="n">
        <x:v>63</x:v>
      </x:c>
      <x:c r="C2" t="n">
        <x:v>45</x:v>
      </x:c>
      <x:c r="D2" s="8" t="n">
        <x:v>3208.67</x:v>
      </x:c>
      <x:c r="E2" t="str">
        <x:v>OK</x:v>
      </x:c>
    </x:row>
    <x:row r="3">
      <x:c r="A3" t="str">
        <x:v>MAT2001</x:v>
      </x:c>
      <x:c r="B3" t="n">
        <x:v>59</x:v>
      </x:c>
      <x:c r="C3" t="n">
        <x:v>96</x:v>
      </x:c>
      <x:c r="D3" s="8" t="n">
        <x:v>4530.93</x:v>
      </x:c>
      <x:c r="E3" t="str">
        <x:v>Critical</x:v>
      </x:c>
    </x:row>
    <x:row r="4">
      <x:c r="A4" t="str">
        <x:v>MAT2002</x:v>
      </x:c>
      <x:c r="B4" t="n">
        <x:v>133</x:v>
      </x:c>
      <x:c r="C4" t="n">
        <x:v>32</x:v>
      </x:c>
      <x:c r="D4" s="8" t="n">
        <x:v>111191.98</x:v>
      </x:c>
      <x:c r="E4" t="str">
        <x:v>OK</x:v>
      </x:c>
    </x:row>
    <x:row r="5">
      <x:c r="A5" t="str">
        <x:v>MAT2003</x:v>
      </x:c>
      <x:c r="B5" t="n">
        <x:v>29</x:v>
      </x:c>
      <x:c r="C5" t="n">
        <x:v>115</x:v>
      </x:c>
      <x:c r="D5" s="8" t="n">
        <x:v>20511.39</x:v>
      </x:c>
      <x:c r="E5" t="str">
        <x:v>Critical</x:v>
      </x:c>
    </x:row>
    <x:row r="6">
      <x:c r="A6" t="str">
        <x:v>MAT2004</x:v>
      </x:c>
      <x:c r="B6" t="n">
        <x:v>202</x:v>
      </x:c>
      <x:c r="C6" t="n">
        <x:v>31</x:v>
      </x:c>
      <x:c r="D6" s="8" t="n">
        <x:v>139164.77</x:v>
      </x:c>
      <x:c r="E6" t="str">
        <x:v>OK</x:v>
      </x:c>
    </x:row>
    <x:row r="7">
      <x:c r="A7" t="str">
        <x:v>MAT2005</x:v>
      </x:c>
      <x:c r="B7" t="n">
        <x:v>65</x:v>
      </x:c>
      <x:c r="C7" t="n">
        <x:v>93</x:v>
      </x:c>
      <x:c r="D7" s="8" t="n">
        <x:v>22967.62</x:v>
      </x:c>
      <x:c r="E7" t="str">
        <x:v>Critical</x:v>
      </x:c>
    </x:row>
    <x:row r="8">
      <x:c r="A8" t="str">
        <x:v>MAT2006</x:v>
      </x:c>
      <x:c r="B8" t="n">
        <x:v>47</x:v>
      </x:c>
      <x:c r="C8" t="n">
        <x:v>30</x:v>
      </x:c>
      <x:c r="D8" s="8" t="n">
        <x:v>22365.3</x:v>
      </x:c>
      <x:c r="E8" t="str">
        <x:v>OK</x:v>
      </x:c>
    </x:row>
    <x:row r="9">
      <x:c r="A9" t="str">
        <x:v>MAT2007</x:v>
      </x:c>
      <x:c r="B9" t="n">
        <x:v>262</x:v>
      </x:c>
      <x:c r="C9" t="n">
        <x:v>54</x:v>
      </x:c>
      <x:c r="D9" s="8" t="n">
        <x:v>188170.13</x:v>
      </x:c>
      <x:c r="E9" t="str">
        <x:v>OK</x:v>
      </x:c>
    </x:row>
    <x:row r="10">
      <x:c r="A10" t="str">
        <x:v>MAT2008</x:v>
      </x:c>
      <x:c r="B10" t="n">
        <x:v>136</x:v>
      </x:c>
      <x:c r="C10" t="n">
        <x:v>100</x:v>
      </x:c>
      <x:c r="D10" s="8" t="n">
        <x:v>115504.25</x:v>
      </x:c>
      <x:c r="E10" t="str">
        <x:v>OK</x:v>
      </x:c>
    </x:row>
    <x:row r="11">
      <x:c r="A11" t="str">
        <x:v>MAT2009</x:v>
      </x:c>
      <x:c r="B11" t="n">
        <x:v>119</x:v>
      </x:c>
      <x:c r="C11" t="n">
        <x:v>64</x:v>
      </x:c>
      <x:c r="D11" s="8" t="n">
        <x:v>128840.17</x:v>
      </x:c>
      <x:c r="E11" t="str">
        <x:v>OK</x:v>
      </x:c>
    </x:row>
    <x:row r="12">
      <x:c r="A12" t="str">
        <x:v>MAT2010</x:v>
      </x:c>
      <x:c r="B12" t="n">
        <x:v>259</x:v>
      </x:c>
      <x:c r="C12" t="n">
        <x:v>118</x:v>
      </x:c>
      <x:c r="D12" s="8" t="n">
        <x:v>165175.71</x:v>
      </x:c>
      <x:c r="E12" t="str">
        <x:v>OK</x:v>
      </x:c>
    </x:row>
    <x:row r="13">
      <x:c r="A13" t="str">
        <x:v>MAT2011</x:v>
      </x:c>
      <x:c r="B13" t="n">
        <x:v>212</x:v>
      </x:c>
      <x:c r="C13" t="n">
        <x:v>116</x:v>
      </x:c>
      <x:c r="D13" s="8" t="n">
        <x:v>69858.23</x:v>
      </x:c>
      <x:c r="E13" t="str">
        <x:v>OK</x:v>
      </x:c>
    </x:row>
    <x:row r="14">
      <x:c r="A14" t="str">
        <x:v>MAT2012</x:v>
      </x:c>
      <x:c r="B14" t="n">
        <x:v>168</x:v>
      </x:c>
      <x:c r="C14" t="n">
        <x:v>48</x:v>
      </x:c>
      <x:c r="D14" s="8" t="n">
        <x:v>55361.85</x:v>
      </x:c>
      <x:c r="E14" t="str">
        <x:v>OK</x:v>
      </x:c>
    </x:row>
    <x:row r="15">
      <x:c r="A15" t="str">
        <x:v>MAT2013</x:v>
      </x:c>
      <x:c r="B15" t="n">
        <x:v>287</x:v>
      </x:c>
      <x:c r="C15" t="n">
        <x:v>71</x:v>
      </x:c>
      <x:c r="D15" s="8" t="n">
        <x:v>234994.92</x:v>
      </x:c>
      <x:c r="E15" t="str">
        <x:v>OK</x:v>
      </x:c>
    </x:row>
    <x:row r="16">
      <x:c r="A16" t="str">
        <x:v>MAT2014</x:v>
      </x:c>
      <x:c r="B16" t="n">
        <x:v>100</x:v>
      </x:c>
      <x:c r="C16" t="n">
        <x:v>118</x:v>
      </x:c>
      <x:c r="D16" s="8" t="n">
        <x:v>24276.3</x:v>
      </x:c>
      <x:c r="E16" t="str">
        <x:v>Critical</x:v>
      </x:c>
    </x:row>
    <x:row r="17">
      <x:c r="A17" t="str">
        <x:v>MAT2015</x:v>
      </x:c>
      <x:c r="B17" t="n">
        <x:v>87</x:v>
      </x:c>
      <x:c r="C17" t="n">
        <x:v>21</x:v>
      </x:c>
      <x:c r="D17" s="8" t="n">
        <x:v>24960.27</x:v>
      </x:c>
      <x:c r="E17" t="str">
        <x:v>OK</x:v>
      </x:c>
    </x:row>
    <x:row r="18">
      <x:c r="A18" t="str">
        <x:v>MAT2016</x:v>
      </x:c>
      <x:c r="B18" t="n">
        <x:v>249</x:v>
      </x:c>
      <x:c r="C18" t="n">
        <x:v>26</x:v>
      </x:c>
      <x:c r="D18" s="8" t="n">
        <x:v>30205.81</x:v>
      </x:c>
      <x:c r="E18" t="str">
        <x:v>OK</x:v>
      </x:c>
    </x:row>
    <x:row r="19">
      <x:c r="A19" t="str">
        <x:v>MAT2017</x:v>
      </x:c>
      <x:c r="B19" t="n">
        <x:v>97</x:v>
      </x:c>
      <x:c r="C19" t="n">
        <x:v>100</x:v>
      </x:c>
      <x:c r="D19" s="8" t="n">
        <x:v>55984.19</x:v>
      </x:c>
      <x:c r="E19" t="str">
        <x:v>Critical</x:v>
      </x:c>
    </x:row>
    <x:row r="20">
      <x:c r="A20" t="str">
        <x:v>MAT2018</x:v>
      </x:c>
      <x:c r="B20" t="n">
        <x:v>34</x:v>
      </x:c>
      <x:c r="C20" t="n">
        <x:v>115</x:v>
      </x:c>
      <x:c r="D20" s="8" t="n">
        <x:v>37553.94</x:v>
      </x:c>
      <x:c r="E20" t="str">
        <x:v>Critical</x:v>
      </x:c>
    </x:row>
    <x:row r="21">
      <x:c r="A21" t="str">
        <x:v>MAT2019</x:v>
      </x:c>
      <x:c r="B21" t="n">
        <x:v>91</x:v>
      </x:c>
      <x:c r="C21" t="n">
        <x:v>117</x:v>
      </x:c>
      <x:c r="D21" s="8" t="n">
        <x:v>99757.2</x:v>
      </x:c>
      <x:c r="E21" t="str">
        <x:v>Critical</x:v>
      </x:c>
    </x:row>
    <x:row r="22">
      <x:c r="A22" t="str">
        <x:v>MAT2020</x:v>
      </x:c>
      <x:c r="B22" t="n">
        <x:v>104</x:v>
      </x:c>
      <x:c r="C22" t="n">
        <x:v>35</x:v>
      </x:c>
      <x:c r="D22" s="8" t="n">
        <x:v>45122.6</x:v>
      </x:c>
      <x:c r="E22" t="str">
        <x:v>OK</x:v>
      </x:c>
    </x:row>
    <x:row r="23">
      <x:c r="A23" t="str">
        <x:v>MAT2021</x:v>
      </x:c>
      <x:c r="B23" t="n">
        <x:v>91</x:v>
      </x:c>
      <x:c r="C23" t="n">
        <x:v>84</x:v>
      </x:c>
      <x:c r="D23" s="8" t="n">
        <x:v>104310.87</x:v>
      </x:c>
      <x:c r="E23" t="str">
        <x:v>OK</x:v>
      </x:c>
    </x:row>
    <x:row r="24">
      <x:c r="A24" t="str">
        <x:v>MAT2022</x:v>
      </x:c>
      <x:c r="B24" t="n">
        <x:v>212</x:v>
      </x:c>
      <x:c r="C24" t="n">
        <x:v>27</x:v>
      </x:c>
      <x:c r="D24" s="8" t="n">
        <x:v>195791.43</x:v>
      </x:c>
      <x:c r="E24" t="str">
        <x:v>OK</x:v>
      </x:c>
    </x:row>
    <x:row r="25">
      <x:c r="A25" t="str">
        <x:v>MAT2023</x:v>
      </x:c>
      <x:c r="B25" t="n">
        <x:v>234</x:v>
      </x:c>
      <x:c r="C25" t="n">
        <x:v>108</x:v>
      </x:c>
      <x:c r="D25" s="8" t="n">
        <x:v>85657.24</x:v>
      </x:c>
      <x:c r="E25" t="str">
        <x:v>OK</x:v>
      </x:c>
    </x:row>
    <x:row r="26">
      <x:c r="A26" t="str">
        <x:v>MAT2024</x:v>
      </x:c>
      <x:c r="B26" t="n">
        <x:v>167</x:v>
      </x:c>
      <x:c r="C26" t="n">
        <x:v>38</x:v>
      </x:c>
      <x:c r="D26" s="8" t="n">
        <x:v>101583.8</x:v>
      </x:c>
      <x:c r="E26" t="str">
        <x:v>OK</x:v>
      </x:c>
    </x:row>
    <x:row r="27">
      <x:c r="A27" t="str">
        <x:v>MAT2025</x:v>
      </x:c>
      <x:c r="B27" t="n">
        <x:v>270</x:v>
      </x:c>
      <x:c r="C27" t="n">
        <x:v>87</x:v>
      </x:c>
      <x:c r="D27" s="8" t="n">
        <x:v>261123.37</x:v>
      </x:c>
      <x:c r="E27" t="str">
        <x:v>OK</x:v>
      </x:c>
    </x:row>
    <x:row r="28">
      <x:c r="A28" t="str">
        <x:v>MAT2026</x:v>
      </x:c>
      <x:c r="B28" t="n">
        <x:v>9</x:v>
      </x:c>
      <x:c r="C28" t="n">
        <x:v>22</x:v>
      </x:c>
      <x:c r="D28" s="8" t="n">
        <x:v>2903.04</x:v>
      </x:c>
      <x:c r="E28" t="str">
        <x:v>Critical</x:v>
      </x:c>
    </x:row>
    <x:row r="29">
      <x:c r="A29" t="str">
        <x:v>MAT2027</x:v>
      </x:c>
      <x:c r="B29" t="n">
        <x:v>193</x:v>
      </x:c>
      <x:c r="C29" t="n">
        <x:v>65</x:v>
      </x:c>
      <x:c r="D29" s="8" t="n">
        <x:v>200509.68</x:v>
      </x:c>
      <x:c r="E29" t="str">
        <x:v>OK</x:v>
      </x:c>
    </x:row>
    <x:row r="30">
      <x:c r="A30" t="str">
        <x:v>MAT2028</x:v>
      </x:c>
      <x:c r="B30" t="n">
        <x:v>207</x:v>
      </x:c>
      <x:c r="C30" t="n">
        <x:v>93</x:v>
      </x:c>
      <x:c r="D30" s="8" t="n">
        <x:v>126384.56</x:v>
      </x:c>
      <x:c r="E30" t="str">
        <x:v>OK</x:v>
      </x:c>
    </x:row>
    <x:row r="31">
      <x:c r="A31" t="str">
        <x:v>MAT2029</x:v>
      </x:c>
      <x:c r="B31" t="n">
        <x:v>217</x:v>
      </x:c>
      <x:c r="C31" t="n">
        <x:v>27</x:v>
      </x:c>
      <x:c r="D31" s="8" t="n">
        <x:v>214095.39</x:v>
      </x:c>
      <x:c r="E31" t="str">
        <x:v>OK</x:v>
      </x:c>
    </x:row>
    <x:row r="32">
      <x:c r="A32" t="str">
        <x:v>MAT2030</x:v>
      </x:c>
      <x:c r="B32" t="n">
        <x:v>95</x:v>
      </x:c>
      <x:c r="C32" t="n">
        <x:v>38</x:v>
      </x:c>
      <x:c r="D32" s="8" t="n">
        <x:v>74606.15</x:v>
      </x:c>
      <x:c r="E32" t="str">
        <x:v>OK</x:v>
      </x:c>
    </x:row>
    <x:row r="33">
      <x:c r="A33" t="str">
        <x:v>MAT2031</x:v>
      </x:c>
      <x:c r="B33" t="n">
        <x:v>142</x:v>
      </x:c>
      <x:c r="C33" t="n">
        <x:v>109</x:v>
      </x:c>
      <x:c r="D33" s="8" t="n">
        <x:v>42020.12</x:v>
      </x:c>
      <x:c r="E33" t="str">
        <x:v>OK</x:v>
      </x:c>
    </x:row>
    <x:row r="34">
      <x:c r="A34" t="str">
        <x:v>MAT2032</x:v>
      </x:c>
      <x:c r="B34" t="n">
        <x:v>210</x:v>
      </x:c>
      <x:c r="C34" t="n">
        <x:v>50</x:v>
      </x:c>
      <x:c r="D34" s="8" t="n">
        <x:v>88788.09</x:v>
      </x:c>
      <x:c r="E34" t="str">
        <x:v>OK</x:v>
      </x:c>
    </x:row>
    <x:row r="35">
      <x:c r="A35" t="str">
        <x:v>MAT2033</x:v>
      </x:c>
      <x:c r="B35" t="n">
        <x:v>215</x:v>
      </x:c>
      <x:c r="C35" t="n">
        <x:v>105</x:v>
      </x:c>
      <x:c r="D35" s="8" t="n">
        <x:v>63602.8</x:v>
      </x:c>
      <x:c r="E35" t="str">
        <x:v>OK</x:v>
      </x:c>
    </x:row>
    <x:row r="36">
      <x:c r="A36" t="str">
        <x:v>MAT2034</x:v>
      </x:c>
      <x:c r="B36" t="n">
        <x:v>40</x:v>
      </x:c>
      <x:c r="C36" t="n">
        <x:v>34</x:v>
      </x:c>
      <x:c r="D36" s="8" t="n">
        <x:v>6139.2</x:v>
      </x:c>
      <x:c r="E36" t="str">
        <x:v>OK</x:v>
      </x:c>
    </x:row>
    <x:row r="37">
      <x:c r="A37" t="str">
        <x:v>MAT2035</x:v>
      </x:c>
      <x:c r="B37" t="n">
        <x:v>178</x:v>
      </x:c>
      <x:c r="C37" t="n">
        <x:v>80</x:v>
      </x:c>
      <x:c r="D37" s="8" t="n">
        <x:v>136144.45</x:v>
      </x:c>
      <x:c r="E37" t="str">
        <x:v>OK</x:v>
      </x:c>
    </x:row>
    <x:row r="38">
      <x:c r="A38" t="str">
        <x:v>MAT2036</x:v>
      </x:c>
      <x:c r="B38" t="n">
        <x:v>167</x:v>
      </x:c>
      <x:c r="C38" t="n">
        <x:v>37</x:v>
      </x:c>
      <x:c r="D38" s="8" t="n">
        <x:v>115657.2</x:v>
      </x:c>
      <x:c r="E38" t="str">
        <x:v>OK</x:v>
      </x:c>
    </x:row>
    <x:row r="39">
      <x:c r="A39" t="str">
        <x:v>MAT2037</x:v>
      </x:c>
      <x:c r="B39" t="n">
        <x:v>49</x:v>
      </x:c>
      <x:c r="C39" t="n">
        <x:v>53</x:v>
      </x:c>
      <x:c r="D39" s="8" t="n">
        <x:v>36116.53</x:v>
      </x:c>
      <x:c r="E39" t="str">
        <x:v>Critical</x:v>
      </x:c>
    </x:row>
    <x:row r="40">
      <x:c r="A40" t="str">
        <x:v>MAT2038</x:v>
      </x:c>
      <x:c r="B40" t="n">
        <x:v>45</x:v>
      </x:c>
      <x:c r="C40" t="n">
        <x:v>118</x:v>
      </x:c>
      <x:c r="D40" s="8" t="n">
        <x:v>44862.52</x:v>
      </x:c>
      <x:c r="E40" t="str">
        <x:v>Critical</x:v>
      </x:c>
    </x:row>
    <x:row r="41">
      <x:c r="A41" t="str">
        <x:v>MAT2039</x:v>
      </x:c>
      <x:c r="B41" t="n">
        <x:v>168</x:v>
      </x:c>
      <x:c r="C41" t="n">
        <x:v>40</x:v>
      </x:c>
      <x:c r="D41" s="8" t="n">
        <x:v>139223.08</x:v>
      </x:c>
      <x:c r="E41" t="str">
        <x:v>OK</x:v>
      </x:c>
    </x:row>
    <x:row r="42">
      <x:c r="A42" t="str">
        <x:v>MAT2040</x:v>
      </x:c>
      <x:c r="B42" t="n">
        <x:v>259</x:v>
      </x:c>
      <x:c r="C42" t="n">
        <x:v>39</x:v>
      </x:c>
      <x:c r="D42" s="8" t="n">
        <x:v>27232.46</x:v>
      </x:c>
      <x:c r="E42" t="str">
        <x:v>OK</x:v>
      </x:c>
    </x:row>
    <x:row r="43">
      <x:c r="A43" t="str">
        <x:v>MAT2041</x:v>
      </x:c>
      <x:c r="B43" t="n">
        <x:v>123</x:v>
      </x:c>
      <x:c r="C43" t="n">
        <x:v>26</x:v>
      </x:c>
      <x:c r="D43" s="8" t="n">
        <x:v>113661.88</x:v>
      </x:c>
      <x:c r="E43" t="str">
        <x:v>OK</x:v>
      </x:c>
    </x:row>
    <x:row r="44">
      <x:c r="A44" t="str">
        <x:v>MAT2042</x:v>
      </x:c>
      <x:c r="B44" t="n">
        <x:v>110</x:v>
      </x:c>
      <x:c r="C44" t="n">
        <x:v>105</x:v>
      </x:c>
      <x:c r="D44" s="8" t="n">
        <x:v>35575.89</x:v>
      </x:c>
      <x:c r="E44" t="str">
        <x:v>OK</x:v>
      </x:c>
    </x:row>
    <x:row r="45">
      <x:c r="A45" t="str">
        <x:v>MAT2043</x:v>
      </x:c>
      <x:c r="B45" t="n">
        <x:v>243</x:v>
      </x:c>
      <x:c r="C45" t="n">
        <x:v>93</x:v>
      </x:c>
      <x:c r="D45" s="8" t="n">
        <x:v>132527.3</x:v>
      </x:c>
      <x:c r="E45" t="str">
        <x:v>OK</x:v>
      </x:c>
    </x:row>
    <x:row r="46">
      <x:c r="A46" t="str">
        <x:v>MAT2044</x:v>
      </x:c>
      <x:c r="B46" t="n">
        <x:v>92</x:v>
      </x:c>
      <x:c r="C46" t="n">
        <x:v>82</x:v>
      </x:c>
      <x:c r="D46" s="8" t="n">
        <x:v>82698.19</x:v>
      </x:c>
      <x:c r="E46" t="str">
        <x:v>OK</x:v>
      </x:c>
    </x:row>
    <x:row r="47">
      <x:c r="A47" t="str">
        <x:v>MAT2045</x:v>
      </x:c>
      <x:c r="B47" t="n">
        <x:v>283</x:v>
      </x:c>
      <x:c r="C47" t="n">
        <x:v>96</x:v>
      </x:c>
      <x:c r="D47" s="8" t="n">
        <x:v>148428.21</x:v>
      </x:c>
      <x:c r="E47" t="str">
        <x:v>OK</x:v>
      </x:c>
    </x:row>
    <x:row r="48">
      <x:c r="A48" t="str">
        <x:v>MAT2046</x:v>
      </x:c>
      <x:c r="B48" t="n">
        <x:v>50</x:v>
      </x:c>
      <x:c r="C48" t="n">
        <x:v>80</x:v>
      </x:c>
      <x:c r="D48" s="8" t="n">
        <x:v>39452.44</x:v>
      </x:c>
      <x:c r="E48" t="str">
        <x:v>Critical</x:v>
      </x:c>
    </x:row>
    <x:row r="49">
      <x:c r="A49" t="str">
        <x:v>MAT2047</x:v>
      </x:c>
      <x:c r="B49" t="n">
        <x:v>230</x:v>
      </x:c>
      <x:c r="C49" t="n">
        <x:v>57</x:v>
      </x:c>
      <x:c r="D49" s="8" t="n">
        <x:v>273509.75</x:v>
      </x:c>
      <x:c r="E49" t="str">
        <x:v>OK</x:v>
      </x:c>
    </x:row>
    <x:row r="50">
      <x:c r="A50" t="str">
        <x:v>MAT2048</x:v>
      </x:c>
      <x:c r="B50" t="n">
        <x:v>77</x:v>
      </x:c>
      <x:c r="C50" t="n">
        <x:v>56</x:v>
      </x:c>
      <x:c r="D50" s="8" t="n">
        <x:v>34600.96</x:v>
      </x:c>
      <x:c r="E50" t="str">
        <x:v>OK</x:v>
      </x:c>
    </x:row>
    <x:row r="51">
      <x:c r="A51" t="str">
        <x:v>MAT2049</x:v>
      </x:c>
      <x:c r="B51" t="n">
        <x:v>258</x:v>
      </x:c>
      <x:c r="C51" t="n">
        <x:v>44</x:v>
      </x:c>
      <x:c r="D51" s="8" t="n">
        <x:v>15860.5</x:v>
      </x:c>
      <x:c r="E51" t="str">
        <x:v>OK</x:v>
      </x:c>
    </x:row>
    <x:row r="52">
      <x:c r="A52" t="str">
        <x:v>MAT2050</x:v>
      </x:c>
      <x:c r="B52" t="n">
        <x:v>285</x:v>
      </x:c>
      <x:c r="C52" t="n">
        <x:v>95</x:v>
      </x:c>
      <x:c r="D52" s="8" t="n">
        <x:v>137104.61</x:v>
      </x:c>
      <x:c r="E52" t="str">
        <x:v>OK</x:v>
      </x:c>
    </x:row>
    <x:row r="53">
      <x:c r="A53" t="str">
        <x:v>MAT2051</x:v>
      </x:c>
      <x:c r="B53" t="n">
        <x:v>134</x:v>
      </x:c>
      <x:c r="C53" t="n">
        <x:v>29</x:v>
      </x:c>
      <x:c r="D53" s="8" t="n">
        <x:v>20058.36</x:v>
      </x:c>
      <x:c r="E53" t="str">
        <x:v>OK</x:v>
      </x:c>
    </x:row>
    <x:row r="54">
      <x:c r="A54" t="str">
        <x:v>MAT2052</x:v>
      </x:c>
      <x:c r="B54" t="n">
        <x:v>109</x:v>
      </x:c>
      <x:c r="C54" t="n">
        <x:v>22</x:v>
      </x:c>
      <x:c r="D54" s="8" t="n">
        <x:v>39343.56</x:v>
      </x:c>
      <x:c r="E54" t="str">
        <x:v>OK</x:v>
      </x:c>
    </x:row>
    <x:row r="55">
      <x:c r="A55" t="str">
        <x:v>MAT2053</x:v>
      </x:c>
      <x:c r="B55" t="n">
        <x:v>79</x:v>
      </x:c>
      <x:c r="C55" t="n">
        <x:v>21</x:v>
      </x:c>
      <x:c r="D55" s="8" t="n">
        <x:v>68838.53</x:v>
      </x:c>
      <x:c r="E55" t="str">
        <x:v>OK</x:v>
      </x:c>
    </x:row>
    <x:row r="56">
      <x:c r="A56" t="str">
        <x:v>MAT2054</x:v>
      </x:c>
      <x:c r="B56" t="n">
        <x:v>291</x:v>
      </x:c>
      <x:c r="C56" t="n">
        <x:v>104</x:v>
      </x:c>
      <x:c r="D56" s="8" t="n">
        <x:v>251762.03</x:v>
      </x:c>
      <x:c r="E56" t="str">
        <x:v>OK</x:v>
      </x:c>
    </x:row>
    <x:row r="57">
      <x:c r="A57" t="str">
        <x:v>MAT2055</x:v>
      </x:c>
      <x:c r="B57" t="n">
        <x:v>66</x:v>
      </x:c>
      <x:c r="C57" t="n">
        <x:v>85</x:v>
      </x:c>
      <x:c r="D57" s="8" t="n">
        <x:v>61439.62</x:v>
      </x:c>
      <x:c r="E57" t="str">
        <x:v>Critical</x:v>
      </x:c>
    </x:row>
    <x:row r="58">
      <x:c r="A58" t="str">
        <x:v>MAT2056</x:v>
      </x:c>
      <x:c r="B58" t="n">
        <x:v>228</x:v>
      </x:c>
      <x:c r="C58" t="n">
        <x:v>106</x:v>
      </x:c>
      <x:c r="D58" s="8" t="n">
        <x:v>151861.18</x:v>
      </x:c>
      <x:c r="E58" t="str">
        <x:v>OK</x:v>
      </x:c>
    </x:row>
    <x:row r="59">
      <x:c r="A59" t="str">
        <x:v>MAT2057</x:v>
      </x:c>
      <x:c r="B59" t="n">
        <x:v>224</x:v>
      </x:c>
      <x:c r="C59" t="n">
        <x:v>119</x:v>
      </x:c>
      <x:c r="D59" s="8" t="n">
        <x:v>254957.49</x:v>
      </x:c>
      <x:c r="E59" t="str">
        <x:v>OK</x:v>
      </x:c>
    </x:row>
    <x:row r="60">
      <x:c r="A60" t="str">
        <x:v>MAT2058</x:v>
      </x:c>
      <x:c r="B60" t="n">
        <x:v>6</x:v>
      </x:c>
      <x:c r="C60" t="n">
        <x:v>41</x:v>
      </x:c>
      <x:c r="D60" s="8" t="n">
        <x:v>6521.93</x:v>
      </x:c>
      <x:c r="E60" t="str">
        <x:v>Critical</x:v>
      </x:c>
    </x:row>
    <x:row r="61">
      <x:c r="A61" t="str">
        <x:v>MAT2059</x:v>
      </x:c>
      <x:c r="B61" t="n">
        <x:v>5</x:v>
      </x:c>
      <x:c r="C61" t="n">
        <x:v>105</x:v>
      </x:c>
      <x:c r="D61" s="8" t="n">
        <x:v>1150.95</x:v>
      </x:c>
      <x:c r="E61" t="str">
        <x:v>Critical</x:v>
      </x:c>
    </x:row>
    <x:row r="62">
      <x:c r="A62" t="str">
        <x:v>MAT2060</x:v>
      </x:c>
      <x:c r="B62" t="n">
        <x:v>107</x:v>
      </x:c>
      <x:c r="C62" t="n">
        <x:v>56</x:v>
      </x:c>
      <x:c r="D62" s="8" t="n">
        <x:v>46225.66</x:v>
      </x:c>
      <x:c r="E62" t="str">
        <x:v>OK</x:v>
      </x:c>
    </x:row>
    <x:row r="63">
      <x:c r="A63" t="str">
        <x:v>MAT2061</x:v>
      </x:c>
      <x:c r="B63" t="n">
        <x:v>19</x:v>
      </x:c>
      <x:c r="C63" t="n">
        <x:v>82</x:v>
      </x:c>
      <x:c r="D63" s="8" t="n">
        <x:v>9351.13</x:v>
      </x:c>
      <x:c r="E63" t="str">
        <x:v>Critical</x:v>
      </x:c>
    </x:row>
    <x:row r="64">
      <x:c r="A64" t="str">
        <x:v>MAT2062</x:v>
      </x:c>
      <x:c r="B64" t="n">
        <x:v>97</x:v>
      </x:c>
      <x:c r="C64" t="n">
        <x:v>44</x:v>
      </x:c>
      <x:c r="D64" s="8" t="n">
        <x:v>48321.04</x:v>
      </x:c>
      <x:c r="E64" t="str">
        <x:v>OK</x:v>
      </x:c>
    </x:row>
    <x:row r="65">
      <x:c r="A65" t="str">
        <x:v>MAT2063</x:v>
      </x:c>
      <x:c r="B65" t="n">
        <x:v>91</x:v>
      </x:c>
      <x:c r="C65" t="n">
        <x:v>52</x:v>
      </x:c>
      <x:c r="D65" s="8" t="n">
        <x:v>46763.51</x:v>
      </x:c>
      <x:c r="E65" t="str">
        <x:v>OK</x:v>
      </x:c>
    </x:row>
    <x:row r="66">
      <x:c r="A66" t="str">
        <x:v>MAT2064</x:v>
      </x:c>
      <x:c r="B66" t="n">
        <x:v>262</x:v>
      </x:c>
      <x:c r="C66" t="n">
        <x:v>31</x:v>
      </x:c>
      <x:c r="D66" s="8" t="n">
        <x:v>113926.46</x:v>
      </x:c>
      <x:c r="E66" t="str">
        <x:v>OK</x:v>
      </x:c>
    </x:row>
    <x:row r="67">
      <x:c r="A67" t="str">
        <x:v>MAT2065</x:v>
      </x:c>
      <x:c r="B67" t="n">
        <x:v>287</x:v>
      </x:c>
      <x:c r="C67" t="n">
        <x:v>60</x:v>
      </x:c>
      <x:c r="D67" s="8" t="n">
        <x:v>148311.53</x:v>
      </x:c>
      <x:c r="E67" t="str">
        <x:v>OK</x:v>
      </x:c>
    </x:row>
    <x:row r="68">
      <x:c r="A68" t="str">
        <x:v>MAT2066</x:v>
      </x:c>
      <x:c r="B68" t="n">
        <x:v>196</x:v>
      </x:c>
      <x:c r="C68" t="n">
        <x:v>119</x:v>
      </x:c>
      <x:c r="D68" s="8" t="n">
        <x:v>13044.08</x:v>
      </x:c>
      <x:c r="E68" t="str">
        <x:v>OK</x:v>
      </x:c>
    </x:row>
    <x:row r="69">
      <x:c r="A69" t="str">
        <x:v>MAT2067</x:v>
      </x:c>
      <x:c r="B69" t="n">
        <x:v>266</x:v>
      </x:c>
      <x:c r="C69" t="n">
        <x:v>67</x:v>
      </x:c>
      <x:c r="D69" s="8" t="n">
        <x:v>197510.93</x:v>
      </x:c>
      <x:c r="E69" t="str">
        <x:v>OK</x:v>
      </x:c>
    </x:row>
    <x:row r="70">
      <x:c r="A70" t="str">
        <x:v>MAT2068</x:v>
      </x:c>
      <x:c r="B70" t="n">
        <x:v>156</x:v>
      </x:c>
      <x:c r="C70" t="n">
        <x:v>115</x:v>
      </x:c>
      <x:c r="D70" s="8" t="n">
        <x:v>130657.16</x:v>
      </x:c>
      <x:c r="E70" t="str">
        <x:v>OK</x:v>
      </x:c>
    </x:row>
    <x:row r="71">
      <x:c r="A71" t="str">
        <x:v>MAT2069</x:v>
      </x:c>
      <x:c r="B71" t="n">
        <x:v>236</x:v>
      </x:c>
      <x:c r="C71" t="n">
        <x:v>84</x:v>
      </x:c>
      <x:c r="D71" s="8" t="n">
        <x:v>205385.94</x:v>
      </x:c>
      <x:c r="E71" t="str">
        <x:v>OK</x:v>
      </x:c>
    </x:row>
    <x:row r="72">
      <x:c r="A72" t="str">
        <x:v>MAT2070</x:v>
      </x:c>
      <x:c r="B72" t="n">
        <x:v>63</x:v>
      </x:c>
      <x:c r="C72" t="n">
        <x:v>52</x:v>
      </x:c>
      <x:c r="D72" s="8" t="n">
        <x:v>26271.14</x:v>
      </x:c>
      <x:c r="E72" t="str">
        <x:v>OK</x:v>
      </x:c>
    </x:row>
    <x:row r="73">
      <x:c r="A73" t="str">
        <x:v>MAT2071</x:v>
      </x:c>
      <x:c r="B73" t="n">
        <x:v>129</x:v>
      </x:c>
      <x:c r="C73" t="n">
        <x:v>115</x:v>
      </x:c>
      <x:c r="D73" s="8" t="n">
        <x:v>143921.83</x:v>
      </x:c>
      <x:c r="E73" t="str">
        <x:v>OK</x:v>
      </x:c>
    </x:row>
    <x:row r="74">
      <x:c r="A74" t="str">
        <x:v>MAT2072</x:v>
      </x:c>
      <x:c r="B74" t="n">
        <x:v>218</x:v>
      </x:c>
      <x:c r="C74" t="n">
        <x:v>30</x:v>
      </x:c>
      <x:c r="D74" s="8" t="n">
        <x:v>55450.55</x:v>
      </x:c>
      <x:c r="E74" t="str">
        <x:v>OK</x:v>
      </x:c>
    </x:row>
    <x:row r="75">
      <x:c r="A75" t="str">
        <x:v>MAT2073</x:v>
      </x:c>
      <x:c r="B75" t="n">
        <x:v>118</x:v>
      </x:c>
      <x:c r="C75" t="n">
        <x:v>106</x:v>
      </x:c>
      <x:c r="D75" s="8" t="n">
        <x:v>135952.89</x:v>
      </x:c>
      <x:c r="E75" t="str">
        <x:v>OK</x:v>
      </x:c>
    </x:row>
    <x:row r="76">
      <x:c r="A76" t="str">
        <x:v>MAT2074</x:v>
      </x:c>
      <x:c r="B76" t="n">
        <x:v>76</x:v>
      </x:c>
      <x:c r="C76" t="n">
        <x:v>38</x:v>
      </x:c>
      <x:c r="D76" s="8" t="n">
        <x:v>29931.6</x:v>
      </x:c>
      <x:c r="E76" t="str">
        <x:v>OK</x:v>
      </x:c>
    </x:row>
    <x:row r="77">
      <x:c r="A77" t="str">
        <x:v>MAT2075</x:v>
      </x:c>
      <x:c r="B77" t="n">
        <x:v>11</x:v>
      </x:c>
      <x:c r="C77" t="n">
        <x:v>66</x:v>
      </x:c>
      <x:c r="D77" s="8" t="n">
        <x:v>7594.58</x:v>
      </x:c>
      <x:c r="E77" t="str">
        <x:v>Critical</x:v>
      </x:c>
    </x:row>
    <x:row r="78">
      <x:c r="A78" t="str">
        <x:v>MAT2076</x:v>
      </x:c>
      <x:c r="B78" t="n">
        <x:v>246</x:v>
      </x:c>
      <x:c r="C78" t="n">
        <x:v>47</x:v>
      </x:c>
      <x:c r="D78" s="8" t="n">
        <x:v>211693.74</x:v>
      </x:c>
      <x:c r="E78" t="str">
        <x:v>OK</x:v>
      </x:c>
    </x:row>
    <x:row r="79">
      <x:c r="A79" t="str">
        <x:v>MAT2077</x:v>
      </x:c>
      <x:c r="B79" t="n">
        <x:v>66</x:v>
      </x:c>
      <x:c r="C79" t="n">
        <x:v>87</x:v>
      </x:c>
      <x:c r="D79" s="8" t="n">
        <x:v>7905.65</x:v>
      </x:c>
      <x:c r="E79" t="str">
        <x:v>Critical</x:v>
      </x:c>
    </x:row>
    <x:row r="80">
      <x:c r="A80" t="str">
        <x:v>MAT2078</x:v>
      </x:c>
      <x:c r="B80" t="n">
        <x:v>146</x:v>
      </x:c>
      <x:c r="C80" t="n">
        <x:v>112</x:v>
      </x:c>
      <x:c r="D80" s="8" t="n">
        <x:v>89566.21</x:v>
      </x:c>
      <x:c r="E80" t="str">
        <x:v>OK</x:v>
      </x:c>
    </x:row>
    <x:row r="81">
      <x:c r="A81" t="str">
        <x:v>MAT2079</x:v>
      </x:c>
      <x:c r="B81" t="n">
        <x:v>298</x:v>
      </x:c>
      <x:c r="C81" t="n">
        <x:v>101</x:v>
      </x:c>
      <x:c r="D81" s="8" t="n">
        <x:v>103216.31</x:v>
      </x:c>
      <x:c r="E81" t="str">
        <x:v>OK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.25" hidden="0" customWidth="1"/>
    <x:col min="2" max="2" width="11.130000114440918" hidden="0" customWidth="1"/>
    <x:col min="3" max="3" width="9.75" hidden="0" customWidth="1"/>
  </x:cols>
  <x:sheetData>
    <x:row r="1">
      <x:c r="A1" s="4" t="str">
        <x:v>vendor_id</x:v>
      </x:c>
      <x:c r="B1" s="4" t="str">
        <x:v>vendor_name</x:v>
      </x:c>
      <x:c r="C1" s="4" t="str">
        <x:v>country</x:v>
      </x:c>
    </x:row>
    <x:row r="2">
      <x:c r="A2" t="str">
        <x:v>V1000</x:v>
      </x:c>
      <x:c r="B2" t="str">
        <x:v>Vendor A00</x:v>
      </x:c>
      <x:c r="C2" t="str">
        <x:v>Netherlands</x:v>
      </x:c>
    </x:row>
    <x:row r="3">
      <x:c r="A3" t="str">
        <x:v>V1001</x:v>
      </x:c>
      <x:c r="B3" t="str">
        <x:v>Vendor B01</x:v>
      </x:c>
      <x:c r="C3" t="str">
        <x:v>Netherlands</x:v>
      </x:c>
    </x:row>
    <x:row r="4">
      <x:c r="A4" t="str">
        <x:v>V1002</x:v>
      </x:c>
      <x:c r="B4" t="str">
        <x:v>Vendor C02</x:v>
      </x:c>
      <x:c r="C4" t="str">
        <x:v>Germany</x:v>
      </x:c>
    </x:row>
    <x:row r="5">
      <x:c r="A5" t="str">
        <x:v>V1003</x:v>
      </x:c>
      <x:c r="B5" t="str">
        <x:v>Vendor D03</x:v>
      </x:c>
      <x:c r="C5" t="str">
        <x:v>Germany</x:v>
      </x:c>
    </x:row>
    <x:row r="6">
      <x:c r="A6" t="str">
        <x:v>V1004</x:v>
      </x:c>
      <x:c r="B6" t="str">
        <x:v>Vendor E04</x:v>
      </x:c>
      <x:c r="C6" t="str">
        <x:v>Germany</x:v>
      </x:c>
    </x:row>
    <x:row r="7">
      <x:c r="A7" t="str">
        <x:v>V1005</x:v>
      </x:c>
      <x:c r="B7" t="str">
        <x:v>Vendor F05</x:v>
      </x:c>
      <x:c r="C7" t="str">
        <x:v>India</x:v>
      </x:c>
    </x:row>
    <x:row r="8">
      <x:c r="A8" t="str">
        <x:v>V1006</x:v>
      </x:c>
      <x:c r="B8" t="str">
        <x:v>Vendor G06</x:v>
      </x:c>
      <x:c r="C8" t="str">
        <x:v>Netherlands</x:v>
      </x:c>
    </x:row>
    <x:row r="9">
      <x:c r="A9" t="str">
        <x:v>V1007</x:v>
      </x:c>
      <x:c r="B9" t="str">
        <x:v>Vendor H07</x:v>
      </x:c>
      <x:c r="C9" t="str">
        <x:v>UK</x:v>
      </x:c>
    </x:row>
    <x:row r="10">
      <x:c r="A10" t="str">
        <x:v>V1008</x:v>
      </x:c>
      <x:c r="B10" t="str">
        <x:v>Vendor I08</x:v>
      </x:c>
      <x:c r="C10" t="str">
        <x:v>Ireland</x:v>
      </x:c>
    </x:row>
    <x:row r="11">
      <x:c r="A11" t="str">
        <x:v>V1009</x:v>
      </x:c>
      <x:c r="B11" t="str">
        <x:v>Vendor J09</x:v>
      </x:c>
      <x:c r="C11" t="str">
        <x:v>Ireland</x:v>
      </x:c>
    </x:row>
    <x:row r="12">
      <x:c r="A12" t="str">
        <x:v>V1010</x:v>
      </x:c>
      <x:c r="B12" t="str">
        <x:v>Vendor K10</x:v>
      </x:c>
      <x:c r="C12" t="str">
        <x:v>Germany</x:v>
      </x:c>
    </x:row>
    <x:row r="13">
      <x:c r="A13" t="str">
        <x:v>V1011</x:v>
      </x:c>
      <x:c r="B13" t="str">
        <x:v>Vendor L11</x:v>
      </x:c>
      <x:c r="C13" t="str">
        <x:v>Germany</x:v>
      </x:c>
    </x:row>
    <x:row r="14">
      <x:c r="A14" t="str">
        <x:v>V1012</x:v>
      </x:c>
      <x:c r="B14" t="str">
        <x:v>Vendor M12</x:v>
      </x:c>
      <x:c r="C14" t="str">
        <x:v>Ireland</x:v>
      </x:c>
    </x:row>
    <x:row r="15">
      <x:c r="A15" t="str">
        <x:v>V1013</x:v>
      </x:c>
      <x:c r="B15" t="str">
        <x:v>Vendor N13</x:v>
      </x:c>
      <x:c r="C15" t="str">
        <x:v>Ireland</x:v>
      </x:c>
    </x:row>
    <x:row r="16">
      <x:c r="A16" t="str">
        <x:v>V1014</x:v>
      </x:c>
      <x:c r="B16" t="str">
        <x:v>Vendor O14</x:v>
      </x:c>
      <x:c r="C16" t="str">
        <x:v>India</x:v>
      </x:c>
    </x:row>
    <x:row r="17">
      <x:c r="A17" t="str">
        <x:v>V1015</x:v>
      </x:c>
      <x:c r="B17" t="str">
        <x:v>Vendor P15</x:v>
      </x:c>
      <x:c r="C17" t="str">
        <x:v>Netherlands</x:v>
      </x:c>
    </x:row>
    <x:row r="18">
      <x:c r="A18" t="str">
        <x:v>V1016</x:v>
      </x:c>
      <x:c r="B18" t="str">
        <x:v>Vendor Q16</x:v>
      </x:c>
      <x:c r="C18" t="str">
        <x:v>India</x:v>
      </x:c>
    </x:row>
    <x:row r="19">
      <x:c r="A19" t="str">
        <x:v>V1017</x:v>
      </x:c>
      <x:c r="B19" t="str">
        <x:v>Vendor R17</x:v>
      </x:c>
      <x:c r="C19" t="str">
        <x:v>UK</x:v>
      </x:c>
    </x:row>
    <x:row r="20">
      <x:c r="A20" t="str">
        <x:v>V1018</x:v>
      </x:c>
      <x:c r="B20" t="str">
        <x:v>Vendor S18</x:v>
      </x:c>
      <x:c r="C20" t="str">
        <x:v>Germany</x:v>
      </x:c>
    </x:row>
    <x:row r="21">
      <x:c r="A21" t="str">
        <x:v>V1019</x:v>
      </x:c>
      <x:c r="B21" t="str">
        <x:v>Vendor T19</x:v>
      </x:c>
      <x:c r="C21" t="str">
        <x:v>Germany</x:v>
      </x:c>
    </x:row>
    <x:row r="22">
      <x:c r="A22" t="str">
        <x:v>V1020</x:v>
      </x:c>
      <x:c r="B22" t="str">
        <x:v>Vendor U20</x:v>
      </x:c>
      <x:c r="C22" t="str">
        <x:v>Ireland</x:v>
      </x:c>
    </x:row>
    <x:row r="23">
      <x:c r="A23" t="str">
        <x:v>V1021</x:v>
      </x:c>
      <x:c r="B23" t="str">
        <x:v>Vendor V21</x:v>
      </x:c>
      <x:c r="C23" t="str">
        <x:v>UK</x:v>
      </x:c>
    </x:row>
    <x:row r="24">
      <x:c r="A24" t="str">
        <x:v>V1022</x:v>
      </x:c>
      <x:c r="B24" t="str">
        <x:v>Vendor W22</x:v>
      </x:c>
      <x:c r="C24" t="str">
        <x:v>Germany</x:v>
      </x:c>
    </x:row>
    <x:row r="25">
      <x:c r="A25" t="str">
        <x:v>V1023</x:v>
      </x:c>
      <x:c r="B25" t="str">
        <x:v>Vendor X23</x:v>
      </x:c>
      <x:c r="C25" t="str">
        <x:v>Netherlands</x:v>
      </x:c>
    </x:row>
    <x:row r="26">
      <x:c r="A26" t="str">
        <x:v>V1024</x:v>
      </x:c>
      <x:c r="B26" t="str">
        <x:v>Vendor Y24</x:v>
      </x:c>
      <x:c r="C26" t="str">
        <x:v>Netherlands</x:v>
      </x:c>
    </x:row>
    <x:row r="27">
      <x:c r="A27" t="str">
        <x:v>V1025</x:v>
      </x:c>
      <x:c r="B27" t="str">
        <x:v>Vendor Z25</x:v>
      </x:c>
      <x:c r="C27" t="str">
        <x:v>India</x:v>
      </x:c>
    </x:row>
    <x:row r="28">
      <x:c r="A28" t="str">
        <x:v>V1026</x:v>
      </x:c>
      <x:c r="B28" t="str">
        <x:v>Vendor A26</x:v>
      </x:c>
      <x:c r="C28" t="str">
        <x:v>India</x:v>
      </x:c>
    </x:row>
    <x:row r="29">
      <x:c r="A29" t="str">
        <x:v>V1027</x:v>
      </x:c>
      <x:c r="B29" t="str">
        <x:v>Vendor B27</x:v>
      </x:c>
      <x:c r="C29" t="str">
        <x:v>Ireland</x:v>
      </x:c>
    </x:row>
    <x:row r="30">
      <x:c r="A30" t="str">
        <x:v>V1028</x:v>
      </x:c>
      <x:c r="B30" t="str">
        <x:v>Vendor C28</x:v>
      </x:c>
      <x:c r="C30" t="str">
        <x:v>Netherlands</x:v>
      </x:c>
    </x:row>
    <x:row r="31">
      <x:c r="A31" t="str">
        <x:v>V1029</x:v>
      </x:c>
      <x:c r="B31" t="str">
        <x:v>Vendor D29</x:v>
      </x:c>
      <x:c r="C31" t="str">
        <x:v>Ireland</x:v>
      </x:c>
    </x:row>
    <x:row r="32">
      <x:c r="A32" t="str">
        <x:v>V1030</x:v>
      </x:c>
      <x:c r="B32" t="str">
        <x:v>Vendor E30</x:v>
      </x:c>
      <x:c r="C32" t="str">
        <x:v>UK</x:v>
      </x:c>
    </x:row>
    <x:row r="33">
      <x:c r="A33" t="str">
        <x:v>V1031</x:v>
      </x:c>
      <x:c r="B33" t="str">
        <x:v>Vendor F31</x:v>
      </x:c>
      <x:c r="C33" t="str">
        <x:v>Germany</x:v>
      </x:c>
    </x:row>
    <x:row r="34">
      <x:c r="A34" t="str">
        <x:v>V1032</x:v>
      </x:c>
      <x:c r="B34" t="str">
        <x:v>Vendor G32</x:v>
      </x:c>
      <x:c r="C34" t="str">
        <x:v>Germany</x:v>
      </x:c>
    </x:row>
    <x:row r="35">
      <x:c r="A35" t="str">
        <x:v>V1033</x:v>
      </x:c>
      <x:c r="B35" t="str">
        <x:v>Vendor H33</x:v>
      </x:c>
      <x:c r="C35" t="str">
        <x:v>Germany</x:v>
      </x:c>
    </x:row>
    <x:row r="36">
      <x:c r="A36" t="str">
        <x:v>V1034</x:v>
      </x:c>
      <x:c r="B36" t="str">
        <x:v>Vendor I34</x:v>
      </x:c>
      <x:c r="C36" t="str">
        <x:v>India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9.25" hidden="0" customWidth="1"/>
    <x:col min="2" max="2" width="12.130000114440918" hidden="0" customWidth="1"/>
    <x:col min="3" max="3" width="10.380000114440918" hidden="0" customWidth="1"/>
    <x:col min="4" max="4" width="11.25" hidden="0" customWidth="1"/>
  </x:cols>
  <x:sheetData>
    <x:row r="1">
      <x:c r="A1" s="4" t="str">
        <x:v>material_id</x:v>
      </x:c>
      <x:c r="B1" s="4" t="str">
        <x:v>material_name</x:v>
      </x:c>
      <x:c r="C1" s="4" t="str">
        <x:v>category</x:v>
      </x:c>
      <x:c r="D1" s="4" t="str">
        <x:v>reorder_point</x:v>
      </x:c>
    </x:row>
    <x:row r="2">
      <x:c r="A2" t="str">
        <x:v>MAT2000</x:v>
      </x:c>
      <x:c r="B2" t="str">
        <x:v>Material-000</x:v>
      </x:c>
      <x:c r="C2" t="str">
        <x:v>Raw Material</x:v>
      </x:c>
      <x:c r="D2" t="n">
        <x:v>45</x:v>
      </x:c>
    </x:row>
    <x:row r="3">
      <x:c r="A3" t="str">
        <x:v>MAT2001</x:v>
      </x:c>
      <x:c r="B3" t="str">
        <x:v>Material-001</x:v>
      </x:c>
      <x:c r="C3" t="str">
        <x:v>Spare</x:v>
      </x:c>
      <x:c r="D3" t="n">
        <x:v>96</x:v>
      </x:c>
    </x:row>
    <x:row r="4">
      <x:c r="A4" t="str">
        <x:v>MAT2002</x:v>
      </x:c>
      <x:c r="B4" t="str">
        <x:v>Material-002</x:v>
      </x:c>
      <x:c r="C4" t="str">
        <x:v>Raw Material</x:v>
      </x:c>
      <x:c r="D4" t="n">
        <x:v>32</x:v>
      </x:c>
    </x:row>
    <x:row r="5">
      <x:c r="A5" t="str">
        <x:v>MAT2003</x:v>
      </x:c>
      <x:c r="B5" t="str">
        <x:v>Material-003</x:v>
      </x:c>
      <x:c r="C5" t="str">
        <x:v>Packaging</x:v>
      </x:c>
      <x:c r="D5" t="n">
        <x:v>115</x:v>
      </x:c>
    </x:row>
    <x:row r="6">
      <x:c r="A6" t="str">
        <x:v>MAT2004</x:v>
      </x:c>
      <x:c r="B6" t="str">
        <x:v>Material-004</x:v>
      </x:c>
      <x:c r="C6" t="str">
        <x:v>Consumable</x:v>
      </x:c>
      <x:c r="D6" t="n">
        <x:v>31</x:v>
      </x:c>
    </x:row>
    <x:row r="7">
      <x:c r="A7" t="str">
        <x:v>MAT2005</x:v>
      </x:c>
      <x:c r="B7" t="str">
        <x:v>Material-005</x:v>
      </x:c>
      <x:c r="C7" t="str">
        <x:v>Raw Material</x:v>
      </x:c>
      <x:c r="D7" t="n">
        <x:v>93</x:v>
      </x:c>
    </x:row>
    <x:row r="8">
      <x:c r="A8" t="str">
        <x:v>MAT2006</x:v>
      </x:c>
      <x:c r="B8" t="str">
        <x:v>Material-006</x:v>
      </x:c>
      <x:c r="C8" t="str">
        <x:v>Spare</x:v>
      </x:c>
      <x:c r="D8" t="n">
        <x:v>30</x:v>
      </x:c>
    </x:row>
    <x:row r="9">
      <x:c r="A9" t="str">
        <x:v>MAT2007</x:v>
      </x:c>
      <x:c r="B9" t="str">
        <x:v>Material-007</x:v>
      </x:c>
      <x:c r="C9" t="str">
        <x:v>Raw Material</x:v>
      </x:c>
      <x:c r="D9" t="n">
        <x:v>54</x:v>
      </x:c>
    </x:row>
    <x:row r="10">
      <x:c r="A10" t="str">
        <x:v>MAT2008</x:v>
      </x:c>
      <x:c r="B10" t="str">
        <x:v>Material-008</x:v>
      </x:c>
      <x:c r="C10" t="str">
        <x:v>Spare</x:v>
      </x:c>
      <x:c r="D10" t="n">
        <x:v>100</x:v>
      </x:c>
    </x:row>
    <x:row r="11">
      <x:c r="A11" t="str">
        <x:v>MAT2009</x:v>
      </x:c>
      <x:c r="B11" t="str">
        <x:v>Material-009</x:v>
      </x:c>
      <x:c r="C11" t="str">
        <x:v>Raw Material</x:v>
      </x:c>
      <x:c r="D11" t="n">
        <x:v>64</x:v>
      </x:c>
    </x:row>
    <x:row r="12">
      <x:c r="A12" t="str">
        <x:v>MAT2010</x:v>
      </x:c>
      <x:c r="B12" t="str">
        <x:v>Material-010</x:v>
      </x:c>
      <x:c r="C12" t="str">
        <x:v>Raw Material</x:v>
      </x:c>
      <x:c r="D12" t="n">
        <x:v>118</x:v>
      </x:c>
    </x:row>
    <x:row r="13">
      <x:c r="A13" t="str">
        <x:v>MAT2011</x:v>
      </x:c>
      <x:c r="B13" t="str">
        <x:v>Material-011</x:v>
      </x:c>
      <x:c r="C13" t="str">
        <x:v>Spare</x:v>
      </x:c>
      <x:c r="D13" t="n">
        <x:v>116</x:v>
      </x:c>
    </x:row>
    <x:row r="14">
      <x:c r="A14" t="str">
        <x:v>MAT2012</x:v>
      </x:c>
      <x:c r="B14" t="str">
        <x:v>Material-012</x:v>
      </x:c>
      <x:c r="C14" t="str">
        <x:v>Packaging</x:v>
      </x:c>
      <x:c r="D14" t="n">
        <x:v>48</x:v>
      </x:c>
    </x:row>
    <x:row r="15">
      <x:c r="A15" t="str">
        <x:v>MAT2013</x:v>
      </x:c>
      <x:c r="B15" t="str">
        <x:v>Material-013</x:v>
      </x:c>
      <x:c r="C15" t="str">
        <x:v>Spare</x:v>
      </x:c>
      <x:c r="D15" t="n">
        <x:v>71</x:v>
      </x:c>
    </x:row>
    <x:row r="16">
      <x:c r="A16" t="str">
        <x:v>MAT2014</x:v>
      </x:c>
      <x:c r="B16" t="str">
        <x:v>Material-014</x:v>
      </x:c>
      <x:c r="C16" t="str">
        <x:v>Packaging</x:v>
      </x:c>
      <x:c r="D16" t="n">
        <x:v>118</x:v>
      </x:c>
    </x:row>
    <x:row r="17">
      <x:c r="A17" t="str">
        <x:v>MAT2015</x:v>
      </x:c>
      <x:c r="B17" t="str">
        <x:v>Material-015</x:v>
      </x:c>
      <x:c r="C17" t="str">
        <x:v>Spare</x:v>
      </x:c>
      <x:c r="D17" t="n">
        <x:v>21</x:v>
      </x:c>
    </x:row>
    <x:row r="18">
      <x:c r="A18" t="str">
        <x:v>MAT2016</x:v>
      </x:c>
      <x:c r="B18" t="str">
        <x:v>Material-016</x:v>
      </x:c>
      <x:c r="C18" t="str">
        <x:v>Raw Material</x:v>
      </x:c>
      <x:c r="D18" t="n">
        <x:v>26</x:v>
      </x:c>
    </x:row>
    <x:row r="19">
      <x:c r="A19" t="str">
        <x:v>MAT2017</x:v>
      </x:c>
      <x:c r="B19" t="str">
        <x:v>Material-017</x:v>
      </x:c>
      <x:c r="C19" t="str">
        <x:v>Spare</x:v>
      </x:c>
      <x:c r="D19" t="n">
        <x:v>100</x:v>
      </x:c>
    </x:row>
    <x:row r="20">
      <x:c r="A20" t="str">
        <x:v>MAT2018</x:v>
      </x:c>
      <x:c r="B20" t="str">
        <x:v>Material-018</x:v>
      </x:c>
      <x:c r="C20" t="str">
        <x:v>Raw Material</x:v>
      </x:c>
      <x:c r="D20" t="n">
        <x:v>115</x:v>
      </x:c>
    </x:row>
    <x:row r="21">
      <x:c r="A21" t="str">
        <x:v>MAT2019</x:v>
      </x:c>
      <x:c r="B21" t="str">
        <x:v>Material-019</x:v>
      </x:c>
      <x:c r="C21" t="str">
        <x:v>Consumable</x:v>
      </x:c>
      <x:c r="D21" t="n">
        <x:v>117</x:v>
      </x:c>
    </x:row>
    <x:row r="22">
      <x:c r="A22" t="str">
        <x:v>MAT2020</x:v>
      </x:c>
      <x:c r="B22" t="str">
        <x:v>Material-020</x:v>
      </x:c>
      <x:c r="C22" t="str">
        <x:v>Spare</x:v>
      </x:c>
      <x:c r="D22" t="n">
        <x:v>35</x:v>
      </x:c>
    </x:row>
    <x:row r="23">
      <x:c r="A23" t="str">
        <x:v>MAT2021</x:v>
      </x:c>
      <x:c r="B23" t="str">
        <x:v>Material-021</x:v>
      </x:c>
      <x:c r="C23" t="str">
        <x:v>Consumable</x:v>
      </x:c>
      <x:c r="D23" t="n">
        <x:v>84</x:v>
      </x:c>
    </x:row>
    <x:row r="24">
      <x:c r="A24" t="str">
        <x:v>MAT2022</x:v>
      </x:c>
      <x:c r="B24" t="str">
        <x:v>Material-022</x:v>
      </x:c>
      <x:c r="C24" t="str">
        <x:v>Spare</x:v>
      </x:c>
      <x:c r="D24" t="n">
        <x:v>27</x:v>
      </x:c>
    </x:row>
    <x:row r="25">
      <x:c r="A25" t="str">
        <x:v>MAT2023</x:v>
      </x:c>
      <x:c r="B25" t="str">
        <x:v>Material-023</x:v>
      </x:c>
      <x:c r="C25" t="str">
        <x:v>Spare</x:v>
      </x:c>
      <x:c r="D25" t="n">
        <x:v>108</x:v>
      </x:c>
    </x:row>
    <x:row r="26">
      <x:c r="A26" t="str">
        <x:v>MAT2024</x:v>
      </x:c>
      <x:c r="B26" t="str">
        <x:v>Material-024</x:v>
      </x:c>
      <x:c r="C26" t="str">
        <x:v>Raw Material</x:v>
      </x:c>
      <x:c r="D26" t="n">
        <x:v>38</x:v>
      </x:c>
    </x:row>
    <x:row r="27">
      <x:c r="A27" t="str">
        <x:v>MAT2025</x:v>
      </x:c>
      <x:c r="B27" t="str">
        <x:v>Material-025</x:v>
      </x:c>
      <x:c r="C27" t="str">
        <x:v>Consumable</x:v>
      </x:c>
      <x:c r="D27" t="n">
        <x:v>87</x:v>
      </x:c>
    </x:row>
    <x:row r="28">
      <x:c r="A28" t="str">
        <x:v>MAT2026</x:v>
      </x:c>
      <x:c r="B28" t="str">
        <x:v>Material-026</x:v>
      </x:c>
      <x:c r="C28" t="str">
        <x:v>Raw Material</x:v>
      </x:c>
      <x:c r="D28" t="n">
        <x:v>22</x:v>
      </x:c>
    </x:row>
    <x:row r="29">
      <x:c r="A29" t="str">
        <x:v>MAT2027</x:v>
      </x:c>
      <x:c r="B29" t="str">
        <x:v>Material-027</x:v>
      </x:c>
      <x:c r="C29" t="str">
        <x:v>Spare</x:v>
      </x:c>
      <x:c r="D29" t="n">
        <x:v>65</x:v>
      </x:c>
    </x:row>
    <x:row r="30">
      <x:c r="A30" t="str">
        <x:v>MAT2028</x:v>
      </x:c>
      <x:c r="B30" t="str">
        <x:v>Material-028</x:v>
      </x:c>
      <x:c r="C30" t="str">
        <x:v>Spare</x:v>
      </x:c>
      <x:c r="D30" t="n">
        <x:v>93</x:v>
      </x:c>
    </x:row>
    <x:row r="31">
      <x:c r="A31" t="str">
        <x:v>MAT2029</x:v>
      </x:c>
      <x:c r="B31" t="str">
        <x:v>Material-029</x:v>
      </x:c>
      <x:c r="C31" t="str">
        <x:v>Raw Material</x:v>
      </x:c>
      <x:c r="D31" t="n">
        <x:v>27</x:v>
      </x:c>
    </x:row>
    <x:row r="32">
      <x:c r="A32" t="str">
        <x:v>MAT2030</x:v>
      </x:c>
      <x:c r="B32" t="str">
        <x:v>Material-030</x:v>
      </x:c>
      <x:c r="C32" t="str">
        <x:v>Spare</x:v>
      </x:c>
      <x:c r="D32" t="n">
        <x:v>38</x:v>
      </x:c>
    </x:row>
    <x:row r="33">
      <x:c r="A33" t="str">
        <x:v>MAT2031</x:v>
      </x:c>
      <x:c r="B33" t="str">
        <x:v>Material-031</x:v>
      </x:c>
      <x:c r="C33" t="str">
        <x:v>Raw Material</x:v>
      </x:c>
      <x:c r="D33" t="n">
        <x:v>109</x:v>
      </x:c>
    </x:row>
    <x:row r="34">
      <x:c r="A34" t="str">
        <x:v>MAT2032</x:v>
      </x:c>
      <x:c r="B34" t="str">
        <x:v>Material-032</x:v>
      </x:c>
      <x:c r="C34" t="str">
        <x:v>Raw Material</x:v>
      </x:c>
      <x:c r="D34" t="n">
        <x:v>50</x:v>
      </x:c>
    </x:row>
    <x:row r="35">
      <x:c r="A35" t="str">
        <x:v>MAT2033</x:v>
      </x:c>
      <x:c r="B35" t="str">
        <x:v>Material-033</x:v>
      </x:c>
      <x:c r="C35" t="str">
        <x:v>Raw Material</x:v>
      </x:c>
      <x:c r="D35" t="n">
        <x:v>105</x:v>
      </x:c>
    </x:row>
    <x:row r="36">
      <x:c r="A36" t="str">
        <x:v>MAT2034</x:v>
      </x:c>
      <x:c r="B36" t="str">
        <x:v>Material-034</x:v>
      </x:c>
      <x:c r="C36" t="str">
        <x:v>Spare</x:v>
      </x:c>
      <x:c r="D36" t="n">
        <x:v>34</x:v>
      </x:c>
    </x:row>
    <x:row r="37">
      <x:c r="A37" t="str">
        <x:v>MAT2035</x:v>
      </x:c>
      <x:c r="B37" t="str">
        <x:v>Material-035</x:v>
      </x:c>
      <x:c r="C37" t="str">
        <x:v>Spare</x:v>
      </x:c>
      <x:c r="D37" t="n">
        <x:v>80</x:v>
      </x:c>
    </x:row>
    <x:row r="38">
      <x:c r="A38" t="str">
        <x:v>MAT2036</x:v>
      </x:c>
      <x:c r="B38" t="str">
        <x:v>Material-036</x:v>
      </x:c>
      <x:c r="C38" t="str">
        <x:v>Raw Material</x:v>
      </x:c>
      <x:c r="D38" t="n">
        <x:v>37</x:v>
      </x:c>
    </x:row>
    <x:row r="39">
      <x:c r="A39" t="str">
        <x:v>MAT2037</x:v>
      </x:c>
      <x:c r="B39" t="str">
        <x:v>Material-037</x:v>
      </x:c>
      <x:c r="C39" t="str">
        <x:v>Packaging</x:v>
      </x:c>
      <x:c r="D39" t="n">
        <x:v>53</x:v>
      </x:c>
    </x:row>
    <x:row r="40">
      <x:c r="A40" t="str">
        <x:v>MAT2038</x:v>
      </x:c>
      <x:c r="B40" t="str">
        <x:v>Material-038</x:v>
      </x:c>
      <x:c r="C40" t="str">
        <x:v>Packaging</x:v>
      </x:c>
      <x:c r="D40" t="n">
        <x:v>118</x:v>
      </x:c>
    </x:row>
    <x:row r="41">
      <x:c r="A41" t="str">
        <x:v>MAT2039</x:v>
      </x:c>
      <x:c r="B41" t="str">
        <x:v>Material-039</x:v>
      </x:c>
      <x:c r="C41" t="str">
        <x:v>Raw Material</x:v>
      </x:c>
      <x:c r="D41" t="n">
        <x:v>40</x:v>
      </x:c>
    </x:row>
    <x:row r="42">
      <x:c r="A42" t="str">
        <x:v>MAT2040</x:v>
      </x:c>
      <x:c r="B42" t="str">
        <x:v>Material-040</x:v>
      </x:c>
      <x:c r="C42" t="str">
        <x:v>Packaging</x:v>
      </x:c>
      <x:c r="D42" t="n">
        <x:v>39</x:v>
      </x:c>
    </x:row>
    <x:row r="43">
      <x:c r="A43" t="str">
        <x:v>MAT2041</x:v>
      </x:c>
      <x:c r="B43" t="str">
        <x:v>Material-041</x:v>
      </x:c>
      <x:c r="C43" t="str">
        <x:v>Raw Material</x:v>
      </x:c>
      <x:c r="D43" t="n">
        <x:v>26</x:v>
      </x:c>
    </x:row>
    <x:row r="44">
      <x:c r="A44" t="str">
        <x:v>MAT2042</x:v>
      </x:c>
      <x:c r="B44" t="str">
        <x:v>Material-042</x:v>
      </x:c>
      <x:c r="C44" t="str">
        <x:v>Packaging</x:v>
      </x:c>
      <x:c r="D44" t="n">
        <x:v>105</x:v>
      </x:c>
    </x:row>
    <x:row r="45">
      <x:c r="A45" t="str">
        <x:v>MAT2043</x:v>
      </x:c>
      <x:c r="B45" t="str">
        <x:v>Material-043</x:v>
      </x:c>
      <x:c r="C45" t="str">
        <x:v>Spare</x:v>
      </x:c>
      <x:c r="D45" t="n">
        <x:v>93</x:v>
      </x:c>
    </x:row>
    <x:row r="46">
      <x:c r="A46" t="str">
        <x:v>MAT2044</x:v>
      </x:c>
      <x:c r="B46" t="str">
        <x:v>Material-044</x:v>
      </x:c>
      <x:c r="C46" t="str">
        <x:v>Spare</x:v>
      </x:c>
      <x:c r="D46" t="n">
        <x:v>82</x:v>
      </x:c>
    </x:row>
    <x:row r="47">
      <x:c r="A47" t="str">
        <x:v>MAT2045</x:v>
      </x:c>
      <x:c r="B47" t="str">
        <x:v>Material-045</x:v>
      </x:c>
      <x:c r="C47" t="str">
        <x:v>Consumable</x:v>
      </x:c>
      <x:c r="D47" t="n">
        <x:v>96</x:v>
      </x:c>
    </x:row>
    <x:row r="48">
      <x:c r="A48" t="str">
        <x:v>MAT2046</x:v>
      </x:c>
      <x:c r="B48" t="str">
        <x:v>Material-046</x:v>
      </x:c>
      <x:c r="C48" t="str">
        <x:v>Raw Material</x:v>
      </x:c>
      <x:c r="D48" t="n">
        <x:v>80</x:v>
      </x:c>
    </x:row>
    <x:row r="49">
      <x:c r="A49" t="str">
        <x:v>MAT2047</x:v>
      </x:c>
      <x:c r="B49" t="str">
        <x:v>Material-047</x:v>
      </x:c>
      <x:c r="C49" t="str">
        <x:v>Spare</x:v>
      </x:c>
      <x:c r="D49" t="n">
        <x:v>57</x:v>
      </x:c>
    </x:row>
    <x:row r="50">
      <x:c r="A50" t="str">
        <x:v>MAT2048</x:v>
      </x:c>
      <x:c r="B50" t="str">
        <x:v>Material-048</x:v>
      </x:c>
      <x:c r="C50" t="str">
        <x:v>Consumable</x:v>
      </x:c>
      <x:c r="D50" t="n">
        <x:v>56</x:v>
      </x:c>
    </x:row>
    <x:row r="51">
      <x:c r="A51" t="str">
        <x:v>MAT2049</x:v>
      </x:c>
      <x:c r="B51" t="str">
        <x:v>Material-049</x:v>
      </x:c>
      <x:c r="C51" t="str">
        <x:v>Spare</x:v>
      </x:c>
      <x:c r="D51" t="n">
        <x:v>44</x:v>
      </x:c>
    </x:row>
    <x:row r="52">
      <x:c r="A52" t="str">
        <x:v>MAT2050</x:v>
      </x:c>
      <x:c r="B52" t="str">
        <x:v>Material-050</x:v>
      </x:c>
      <x:c r="C52" t="str">
        <x:v>Raw Material</x:v>
      </x:c>
      <x:c r="D52" t="n">
        <x:v>95</x:v>
      </x:c>
    </x:row>
    <x:row r="53">
      <x:c r="A53" t="str">
        <x:v>MAT2051</x:v>
      </x:c>
      <x:c r="B53" t="str">
        <x:v>Material-051</x:v>
      </x:c>
      <x:c r="C53" t="str">
        <x:v>Spare</x:v>
      </x:c>
      <x:c r="D53" t="n">
        <x:v>29</x:v>
      </x:c>
    </x:row>
    <x:row r="54">
      <x:c r="A54" t="str">
        <x:v>MAT2052</x:v>
      </x:c>
      <x:c r="B54" t="str">
        <x:v>Material-052</x:v>
      </x:c>
      <x:c r="C54" t="str">
        <x:v>Raw Material</x:v>
      </x:c>
      <x:c r="D54" t="n">
        <x:v>22</x:v>
      </x:c>
    </x:row>
    <x:row r="55">
      <x:c r="A55" t="str">
        <x:v>MAT2053</x:v>
      </x:c>
      <x:c r="B55" t="str">
        <x:v>Material-053</x:v>
      </x:c>
      <x:c r="C55" t="str">
        <x:v>Packaging</x:v>
      </x:c>
      <x:c r="D55" t="n">
        <x:v>21</x:v>
      </x:c>
    </x:row>
    <x:row r="56">
      <x:c r="A56" t="str">
        <x:v>MAT2054</x:v>
      </x:c>
      <x:c r="B56" t="str">
        <x:v>Material-054</x:v>
      </x:c>
      <x:c r="C56" t="str">
        <x:v>Raw Material</x:v>
      </x:c>
      <x:c r="D56" t="n">
        <x:v>104</x:v>
      </x:c>
    </x:row>
    <x:row r="57">
      <x:c r="A57" t="str">
        <x:v>MAT2055</x:v>
      </x:c>
      <x:c r="B57" t="str">
        <x:v>Material-055</x:v>
      </x:c>
      <x:c r="C57" t="str">
        <x:v>Raw Material</x:v>
      </x:c>
      <x:c r="D57" t="n">
        <x:v>85</x:v>
      </x:c>
    </x:row>
    <x:row r="58">
      <x:c r="A58" t="str">
        <x:v>MAT2056</x:v>
      </x:c>
      <x:c r="B58" t="str">
        <x:v>Material-056</x:v>
      </x:c>
      <x:c r="C58" t="str">
        <x:v>Packaging</x:v>
      </x:c>
      <x:c r="D58" t="n">
        <x:v>106</x:v>
      </x:c>
    </x:row>
    <x:row r="59">
      <x:c r="A59" t="str">
        <x:v>MAT2057</x:v>
      </x:c>
      <x:c r="B59" t="str">
        <x:v>Material-057</x:v>
      </x:c>
      <x:c r="C59" t="str">
        <x:v>Raw Material</x:v>
      </x:c>
      <x:c r="D59" t="n">
        <x:v>119</x:v>
      </x:c>
    </x:row>
    <x:row r="60">
      <x:c r="A60" t="str">
        <x:v>MAT2058</x:v>
      </x:c>
      <x:c r="B60" t="str">
        <x:v>Material-058</x:v>
      </x:c>
      <x:c r="C60" t="str">
        <x:v>Spare</x:v>
      </x:c>
      <x:c r="D60" t="n">
        <x:v>41</x:v>
      </x:c>
    </x:row>
    <x:row r="61">
      <x:c r="A61" t="str">
        <x:v>MAT2059</x:v>
      </x:c>
      <x:c r="B61" t="str">
        <x:v>Material-059</x:v>
      </x:c>
      <x:c r="C61" t="str">
        <x:v>Raw Material</x:v>
      </x:c>
      <x:c r="D61" t="n">
        <x:v>105</x:v>
      </x:c>
    </x:row>
    <x:row r="62">
      <x:c r="A62" t="str">
        <x:v>MAT2060</x:v>
      </x:c>
      <x:c r="B62" t="str">
        <x:v>Material-060</x:v>
      </x:c>
      <x:c r="C62" t="str">
        <x:v>Spare</x:v>
      </x:c>
      <x:c r="D62" t="n">
        <x:v>56</x:v>
      </x:c>
    </x:row>
    <x:row r="63">
      <x:c r="A63" t="str">
        <x:v>MAT2061</x:v>
      </x:c>
      <x:c r="B63" t="str">
        <x:v>Material-061</x:v>
      </x:c>
      <x:c r="C63" t="str">
        <x:v>Spare</x:v>
      </x:c>
      <x:c r="D63" t="n">
        <x:v>82</x:v>
      </x:c>
    </x:row>
    <x:row r="64">
      <x:c r="A64" t="str">
        <x:v>MAT2062</x:v>
      </x:c>
      <x:c r="B64" t="str">
        <x:v>Material-062</x:v>
      </x:c>
      <x:c r="C64" t="str">
        <x:v>Spare</x:v>
      </x:c>
      <x:c r="D64" t="n">
        <x:v>44</x:v>
      </x:c>
    </x:row>
    <x:row r="65">
      <x:c r="A65" t="str">
        <x:v>MAT2063</x:v>
      </x:c>
      <x:c r="B65" t="str">
        <x:v>Material-063</x:v>
      </x:c>
      <x:c r="C65" t="str">
        <x:v>Spare</x:v>
      </x:c>
      <x:c r="D65" t="n">
        <x:v>52</x:v>
      </x:c>
    </x:row>
    <x:row r="66">
      <x:c r="A66" t="str">
        <x:v>MAT2064</x:v>
      </x:c>
      <x:c r="B66" t="str">
        <x:v>Material-064</x:v>
      </x:c>
      <x:c r="C66" t="str">
        <x:v>Consumable</x:v>
      </x:c>
      <x:c r="D66" t="n">
        <x:v>31</x:v>
      </x:c>
    </x:row>
    <x:row r="67">
      <x:c r="A67" t="str">
        <x:v>MAT2065</x:v>
      </x:c>
      <x:c r="B67" t="str">
        <x:v>Material-065</x:v>
      </x:c>
      <x:c r="C67" t="str">
        <x:v>Consumable</x:v>
      </x:c>
      <x:c r="D67" t="n">
        <x:v>60</x:v>
      </x:c>
    </x:row>
    <x:row r="68">
      <x:c r="A68" t="str">
        <x:v>MAT2066</x:v>
      </x:c>
      <x:c r="B68" t="str">
        <x:v>Material-066</x:v>
      </x:c>
      <x:c r="C68" t="str">
        <x:v>Packaging</x:v>
      </x:c>
      <x:c r="D68" t="n">
        <x:v>119</x:v>
      </x:c>
    </x:row>
    <x:row r="69">
      <x:c r="A69" t="str">
        <x:v>MAT2067</x:v>
      </x:c>
      <x:c r="B69" t="str">
        <x:v>Material-067</x:v>
      </x:c>
      <x:c r="C69" t="str">
        <x:v>Consumable</x:v>
      </x:c>
      <x:c r="D69" t="n">
        <x:v>67</x:v>
      </x:c>
    </x:row>
    <x:row r="70">
      <x:c r="A70" t="str">
        <x:v>MAT2068</x:v>
      </x:c>
      <x:c r="B70" t="str">
        <x:v>Material-068</x:v>
      </x:c>
      <x:c r="C70" t="str">
        <x:v>Spare</x:v>
      </x:c>
      <x:c r="D70" t="n">
        <x:v>115</x:v>
      </x:c>
    </x:row>
    <x:row r="71">
      <x:c r="A71" t="str">
        <x:v>MAT2069</x:v>
      </x:c>
      <x:c r="B71" t="str">
        <x:v>Material-069</x:v>
      </x:c>
      <x:c r="C71" t="str">
        <x:v>Spare</x:v>
      </x:c>
      <x:c r="D71" t="n">
        <x:v>84</x:v>
      </x:c>
    </x:row>
    <x:row r="72">
      <x:c r="A72" t="str">
        <x:v>MAT2070</x:v>
      </x:c>
      <x:c r="B72" t="str">
        <x:v>Material-070</x:v>
      </x:c>
      <x:c r="C72" t="str">
        <x:v>Spare</x:v>
      </x:c>
      <x:c r="D72" t="n">
        <x:v>52</x:v>
      </x:c>
    </x:row>
    <x:row r="73">
      <x:c r="A73" t="str">
        <x:v>MAT2071</x:v>
      </x:c>
      <x:c r="B73" t="str">
        <x:v>Material-071</x:v>
      </x:c>
      <x:c r="C73" t="str">
        <x:v>Spare</x:v>
      </x:c>
      <x:c r="D73" t="n">
        <x:v>115</x:v>
      </x:c>
    </x:row>
    <x:row r="74">
      <x:c r="A74" t="str">
        <x:v>MAT2072</x:v>
      </x:c>
      <x:c r="B74" t="str">
        <x:v>Material-072</x:v>
      </x:c>
      <x:c r="C74" t="str">
        <x:v>Consumable</x:v>
      </x:c>
      <x:c r="D74" t="n">
        <x:v>30</x:v>
      </x:c>
    </x:row>
    <x:row r="75">
      <x:c r="A75" t="str">
        <x:v>MAT2073</x:v>
      </x:c>
      <x:c r="B75" t="str">
        <x:v>Material-073</x:v>
      </x:c>
      <x:c r="C75" t="str">
        <x:v>Consumable</x:v>
      </x:c>
      <x:c r="D75" t="n">
        <x:v>106</x:v>
      </x:c>
    </x:row>
    <x:row r="76">
      <x:c r="A76" t="str">
        <x:v>MAT2074</x:v>
      </x:c>
      <x:c r="B76" t="str">
        <x:v>Material-074</x:v>
      </x:c>
      <x:c r="C76" t="str">
        <x:v>Raw Material</x:v>
      </x:c>
      <x:c r="D76" t="n">
        <x:v>38</x:v>
      </x:c>
    </x:row>
    <x:row r="77">
      <x:c r="A77" t="str">
        <x:v>MAT2075</x:v>
      </x:c>
      <x:c r="B77" t="str">
        <x:v>Material-075</x:v>
      </x:c>
      <x:c r="C77" t="str">
        <x:v>Packaging</x:v>
      </x:c>
      <x:c r="D77" t="n">
        <x:v>66</x:v>
      </x:c>
    </x:row>
    <x:row r="78">
      <x:c r="A78" t="str">
        <x:v>MAT2076</x:v>
      </x:c>
      <x:c r="B78" t="str">
        <x:v>Material-076</x:v>
      </x:c>
      <x:c r="C78" t="str">
        <x:v>Raw Material</x:v>
      </x:c>
      <x:c r="D78" t="n">
        <x:v>47</x:v>
      </x:c>
    </x:row>
    <x:row r="79">
      <x:c r="A79" t="str">
        <x:v>MAT2077</x:v>
      </x:c>
      <x:c r="B79" t="str">
        <x:v>Material-077</x:v>
      </x:c>
      <x:c r="C79" t="str">
        <x:v>Raw Material</x:v>
      </x:c>
      <x:c r="D79" t="n">
        <x:v>87</x:v>
      </x:c>
    </x:row>
    <x:row r="80">
      <x:c r="A80" t="str">
        <x:v>MAT2078</x:v>
      </x:c>
      <x:c r="B80" t="str">
        <x:v>Material-078</x:v>
      </x:c>
      <x:c r="C80" t="str">
        <x:v>Raw Material</x:v>
      </x:c>
      <x:c r="D80" t="n">
        <x:v>112</x:v>
      </x:c>
    </x:row>
    <x:row r="81">
      <x:c r="A81" t="str">
        <x:v>MAT2079</x:v>
      </x:c>
      <x:c r="B81" t="str">
        <x:v>Material-079</x:v>
      </x:c>
      <x:c r="C81" t="str">
        <x:v>Raw Material</x:v>
      </x:c>
      <x:c r="D81" t="n">
        <x:v>101</x:v>
      </x:c>
    </x:row>
  </x:sheetData>
  <x:pageMargins left="0.7" right="0.7" top="0.75" bottom="0.75" header="0.3" footer="0.3"/>
</x:worksheet>
</file>